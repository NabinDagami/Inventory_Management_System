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21F00BCA-79F9-4594-A687-96E87D5478E8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Home " sheetId="76" r:id="rId1"/>
    <sheet name="Dashboard" sheetId="1" r:id="rId2"/>
    <sheet name="Sheet1" sheetId="75" state="hidden" r:id="rId3"/>
    <sheet name="Others" sheetId="72" r:id="rId4"/>
    <sheet name="Acc Cable " sheetId="8" r:id="rId5"/>
    <sheet name="Air Filter" sheetId="7" r:id="rId6"/>
    <sheet name="Brake Shoe " sheetId="11" r:id="rId7"/>
    <sheet name="Bearing " sheetId="9" r:id="rId8"/>
    <sheet name="Brake Cable-BrakeYoke " sheetId="12" r:id="rId9"/>
    <sheet name="Brake Pad-Disk Pad" sheetId="13" r:id="rId10"/>
    <sheet name="Brake Paddle-Brake Rod" sheetId="14" r:id="rId11"/>
    <sheet name="Chainkit" sheetId="78" r:id="rId12"/>
    <sheet name="Clutch Plate" sheetId="15" r:id="rId13"/>
    <sheet name="Came Chain-Came Chain exchauste" sheetId="16" r:id="rId14"/>
    <sheet name="Cone Bearing " sheetId="17" r:id="rId15"/>
    <sheet name="Carburator" sheetId="18" r:id="rId16"/>
    <sheet name="Clutch Shoe-Chain exhauster" sheetId="19" r:id="rId17"/>
    <sheet name="Clutch Cable " sheetId="21" r:id="rId18"/>
    <sheet name="Choke Cable-Clutch Yoke" sheetId="22" r:id="rId19"/>
    <sheet name="Clucth Switch-C.D.I" sheetId="23" r:id="rId20"/>
    <sheet name="Drum Rubber" sheetId="24" r:id="rId21"/>
    <sheet name="Daya form" sheetId="25" r:id="rId22"/>
    <sheet name="Disc Caliber" sheetId="26" r:id="rId23"/>
    <sheet name="Disc Plate" sheetId="69" r:id="rId24"/>
    <sheet name="Dipper Switch" sheetId="27" r:id="rId25"/>
    <sheet name=" Footrest" sheetId="28" r:id="rId26"/>
    <sheet name="Front Spocket" sheetId="29" r:id="rId27"/>
    <sheet name="Fine Belt " sheetId="30" r:id="rId28"/>
    <sheet name="Gear Lever-Gear  Sharf" sheetId="31" r:id="rId29"/>
    <sheet name="Head Show-Head Light Assemble" sheetId="32" r:id="rId30"/>
    <sheet name="Half-Excel" sheetId="33" r:id="rId31"/>
    <sheet name="Ingnation Swtich-Switch set" sheetId="34" r:id="rId32"/>
    <sheet name="Kick Lever" sheetId="35" r:id="rId33"/>
    <sheet name="Lever Set " sheetId="36" r:id="rId34"/>
    <sheet name="Mirror" sheetId="39" r:id="rId35"/>
    <sheet name="Front+Rear Master Cylinder" sheetId="38" r:id="rId36"/>
    <sheet name="Male-Female; Male-Female Assemb" sheetId="37" r:id="rId37"/>
    <sheet name="Mobil" sheetId="40" r:id="rId38"/>
    <sheet name="One Way Bearing " sheetId="41" r:id="rId39"/>
    <sheet name="Oil Seal" sheetId="42" r:id="rId40"/>
    <sheet name="Plug-Plug Cap" sheetId="43" r:id="rId41"/>
    <sheet name="Petrol Tap" sheetId="44" r:id="rId42"/>
    <sheet name="Rektifire" sheetId="45" r:id="rId43"/>
    <sheet name="Rocker" sheetId="46" r:id="rId44"/>
    <sheet name="Rear Axel" sheetId="47" r:id="rId45"/>
    <sheet name="Self-Carbon" sheetId="48" r:id="rId46"/>
    <sheet name="Side Light" sheetId="49" r:id="rId47"/>
    <sheet name="Side Stand" sheetId="50" r:id="rId48"/>
    <sheet name="Speedo Meter Cable " sheetId="51" r:id="rId49"/>
    <sheet name="Shock Rod " sheetId="52" r:id="rId50"/>
    <sheet name="Suspention Bush" sheetId="53" r:id="rId51"/>
    <sheet name="Self-Cutout- Relay" sheetId="54" r:id="rId52"/>
    <sheet name="Seat Cover" sheetId="55" r:id="rId53"/>
    <sheet name="Shock Spring" sheetId="77" r:id="rId54"/>
    <sheet name="Top " sheetId="56" r:id="rId55"/>
    <sheet name="Tube" sheetId="57" r:id="rId56"/>
    <sheet name="Tanky Cap" sheetId="58" r:id="rId57"/>
    <sheet name="Timing Pad" sheetId="59" r:id="rId58"/>
    <sheet name="Tyres" sheetId="60" r:id="rId59"/>
    <sheet name="Helmet" sheetId="61" r:id="rId60"/>
    <sheet name="Weigh-Roller" sheetId="71" r:id="rId6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7" l="1"/>
  <c r="H6" i="7" s="1"/>
  <c r="G18" i="22"/>
  <c r="G19" i="22"/>
  <c r="F18" i="22"/>
  <c r="E110" i="72"/>
  <c r="F110" i="72" s="1"/>
  <c r="F4" i="23"/>
  <c r="G4" i="23" s="1"/>
  <c r="F3" i="23"/>
  <c r="G34" i="15"/>
  <c r="H34" i="15"/>
  <c r="F7" i="13"/>
  <c r="G7" i="13" s="1"/>
  <c r="E109" i="72"/>
  <c r="F109" i="72" s="1"/>
  <c r="G5" i="16"/>
  <c r="F29" i="55"/>
  <c r="G29" i="55"/>
  <c r="E106" i="72"/>
  <c r="F106" i="72" s="1"/>
  <c r="E107" i="72"/>
  <c r="F107" i="72" s="1"/>
  <c r="E108" i="72"/>
  <c r="F108" i="72" s="1"/>
  <c r="E111" i="72"/>
  <c r="F111" i="72" s="1"/>
  <c r="F14" i="42"/>
  <c r="G14" i="42" s="1"/>
  <c r="G5" i="42"/>
  <c r="F4" i="42"/>
  <c r="G4" i="42" s="1"/>
  <c r="F5" i="42"/>
  <c r="E25" i="72"/>
  <c r="F25" i="72" s="1"/>
  <c r="F13" i="48"/>
  <c r="G13" i="48" s="1"/>
  <c r="H10" i="43"/>
  <c r="H11" i="43"/>
  <c r="G10" i="43"/>
  <c r="G11" i="43"/>
  <c r="H5" i="43"/>
  <c r="G12" i="57"/>
  <c r="F3" i="59"/>
  <c r="G23" i="52"/>
  <c r="G7" i="27"/>
  <c r="G4" i="8"/>
  <c r="H4" i="8" s="1"/>
  <c r="G22" i="16"/>
  <c r="F3" i="42"/>
  <c r="F10" i="51"/>
  <c r="G10" i="51" s="1"/>
  <c r="F100" i="72"/>
  <c r="E8" i="72"/>
  <c r="F8" i="72" s="1"/>
  <c r="E4" i="72"/>
  <c r="F4" i="72" s="1"/>
  <c r="E5" i="72"/>
  <c r="F5" i="72" s="1"/>
  <c r="E6" i="72"/>
  <c r="F6" i="72" s="1"/>
  <c r="E7" i="72"/>
  <c r="F7" i="72" s="1"/>
  <c r="E3" i="72"/>
  <c r="F3" i="72" s="1"/>
  <c r="F4" i="13"/>
  <c r="F5" i="13"/>
  <c r="G3" i="13" s="1"/>
  <c r="F6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G20" i="13" s="1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G40" i="13" s="1"/>
  <c r="F41" i="13"/>
  <c r="G41" i="13" s="1"/>
  <c r="F3" i="13"/>
  <c r="F14" i="30"/>
  <c r="G14" i="30" s="1"/>
  <c r="G25" i="8"/>
  <c r="H25" i="8" s="1"/>
  <c r="G34" i="7"/>
  <c r="H34" i="7" s="1"/>
  <c r="G21" i="15"/>
  <c r="H21" i="15" s="1"/>
  <c r="E44" i="72"/>
  <c r="F44" i="72" s="1"/>
  <c r="G15" i="27"/>
  <c r="H15" i="27" s="1"/>
  <c r="G14" i="27"/>
  <c r="H14" i="27" s="1"/>
  <c r="G13" i="27"/>
  <c r="H13" i="27" s="1"/>
  <c r="G35" i="17"/>
  <c r="H35" i="17" s="1"/>
  <c r="G36" i="17"/>
  <c r="H36" i="17" s="1"/>
  <c r="G37" i="17"/>
  <c r="H37" i="17" s="1"/>
  <c r="F11" i="53"/>
  <c r="G16" i="21"/>
  <c r="G15" i="21"/>
  <c r="G14" i="19"/>
  <c r="H14" i="19"/>
  <c r="F20" i="71"/>
  <c r="G20" i="71" s="1"/>
  <c r="F39" i="28"/>
  <c r="G39" i="28" s="1"/>
  <c r="F38" i="28"/>
  <c r="G38" i="28" s="1"/>
  <c r="G5" i="77"/>
  <c r="F5" i="77"/>
  <c r="F11" i="48"/>
  <c r="G11" i="48" s="1"/>
  <c r="F5" i="23"/>
  <c r="G5" i="23" s="1"/>
  <c r="G93" i="39"/>
  <c r="H93" i="39" s="1"/>
  <c r="G92" i="39"/>
  <c r="H92" i="39" s="1"/>
  <c r="G32" i="15"/>
  <c r="H32" i="15" s="1"/>
  <c r="F16" i="55"/>
  <c r="G16" i="55" s="1"/>
  <c r="F22" i="55"/>
  <c r="G22" i="55" s="1"/>
  <c r="F12" i="54"/>
  <c r="G12" i="54" s="1"/>
  <c r="F3" i="29"/>
  <c r="F4" i="29"/>
  <c r="G4" i="29" s="1"/>
  <c r="F5" i="29"/>
  <c r="G5" i="29" s="1"/>
  <c r="F6" i="29"/>
  <c r="G6" i="29" s="1"/>
  <c r="F7" i="29"/>
  <c r="G7" i="29" s="1"/>
  <c r="F8" i="29"/>
  <c r="G8" i="29" s="1"/>
  <c r="F9" i="29"/>
  <c r="F10" i="29"/>
  <c r="G10" i="29" s="1"/>
  <c r="F11" i="29"/>
  <c r="G11" i="29" s="1"/>
  <c r="F12" i="29"/>
  <c r="G12" i="29" s="1"/>
  <c r="F13" i="29"/>
  <c r="F14" i="29"/>
  <c r="G14" i="29" s="1"/>
  <c r="F15" i="29"/>
  <c r="F16" i="29"/>
  <c r="G16" i="29" s="1"/>
  <c r="G9" i="29"/>
  <c r="G13" i="29"/>
  <c r="G15" i="29"/>
  <c r="F5" i="28"/>
  <c r="G5" i="28" s="1"/>
  <c r="F5" i="55" l="1"/>
  <c r="F6" i="55"/>
  <c r="F7" i="55"/>
  <c r="G7" i="55" s="1"/>
  <c r="F14" i="14"/>
  <c r="F15" i="14"/>
  <c r="F16" i="14"/>
  <c r="F17" i="14"/>
  <c r="F18" i="14"/>
  <c r="F19" i="14"/>
  <c r="G13" i="28"/>
  <c r="F13" i="28"/>
  <c r="F4" i="57"/>
  <c r="G4" i="57" s="1"/>
  <c r="F5" i="57"/>
  <c r="G5" i="57" s="1"/>
  <c r="F6" i="57"/>
  <c r="G6" i="57" s="1"/>
  <c r="F7" i="57"/>
  <c r="G7" i="57" s="1"/>
  <c r="F8" i="57"/>
  <c r="G8" i="57" s="1"/>
  <c r="F9" i="57"/>
  <c r="G9" i="57" s="1"/>
  <c r="F10" i="57"/>
  <c r="G10" i="57" s="1"/>
  <c r="F11" i="57"/>
  <c r="G11" i="57" s="1"/>
  <c r="F3" i="57"/>
  <c r="G3" i="57" s="1"/>
  <c r="F13" i="50"/>
  <c r="G7" i="8"/>
  <c r="H7" i="8" s="1"/>
  <c r="H20" i="9"/>
  <c r="I20" i="9" s="1"/>
  <c r="H24" i="9"/>
  <c r="I24" i="9" s="1"/>
  <c r="G18" i="7"/>
  <c r="G31" i="17"/>
  <c r="H31" i="17" s="1"/>
  <c r="F14" i="37"/>
  <c r="G14" i="37"/>
  <c r="F4" i="49"/>
  <c r="F5" i="49"/>
  <c r="F6" i="49"/>
  <c r="F7" i="49"/>
  <c r="F8" i="49"/>
  <c r="F37" i="28"/>
  <c r="G37" i="28" s="1"/>
  <c r="F36" i="28"/>
  <c r="G36" i="28"/>
  <c r="G4" i="37"/>
  <c r="F4" i="37"/>
  <c r="F12" i="52"/>
  <c r="G12" i="52" s="1"/>
  <c r="G9" i="13"/>
  <c r="G10" i="13"/>
  <c r="G11" i="13"/>
  <c r="G12" i="13"/>
  <c r="G24" i="13"/>
  <c r="F16" i="42"/>
  <c r="G16" i="42" s="1"/>
  <c r="F18" i="71"/>
  <c r="G18" i="71" s="1"/>
  <c r="E58" i="72"/>
  <c r="F58" i="72" s="1"/>
  <c r="F15" i="30"/>
  <c r="G15" i="30" s="1"/>
  <c r="G9" i="23"/>
  <c r="F9" i="23"/>
  <c r="F12" i="45"/>
  <c r="G12" i="45" s="1"/>
  <c r="E47" i="72"/>
  <c r="F47" i="72" s="1"/>
  <c r="F4" i="53"/>
  <c r="G18" i="15"/>
  <c r="H18" i="15" s="1"/>
  <c r="G19" i="15"/>
  <c r="H19" i="15" s="1"/>
  <c r="G14" i="43"/>
  <c r="H14" i="43" s="1"/>
  <c r="F12" i="55"/>
  <c r="G12" i="55" s="1"/>
  <c r="F19" i="40"/>
  <c r="G19" i="40" s="1"/>
  <c r="F17" i="37"/>
  <c r="F18" i="37"/>
  <c r="G3" i="31"/>
  <c r="G25" i="39"/>
  <c r="H25" i="39" s="1"/>
  <c r="G24" i="39"/>
  <c r="H24" i="39" s="1"/>
  <c r="E53" i="72"/>
  <c r="F53" i="72" s="1"/>
  <c r="F7" i="30"/>
  <c r="G7" i="30" s="1"/>
  <c r="F5" i="30"/>
  <c r="G5" i="30" s="1"/>
  <c r="F11" i="30"/>
  <c r="G11" i="30" s="1"/>
  <c r="F36" i="37"/>
  <c r="G36" i="37" s="1"/>
  <c r="F27" i="71"/>
  <c r="G27" i="71" s="1"/>
  <c r="G10" i="45"/>
  <c r="G11" i="45"/>
  <c r="F11" i="45"/>
  <c r="G29" i="11"/>
  <c r="H29" i="11" s="1"/>
  <c r="G25" i="15"/>
  <c r="H25" i="15" s="1"/>
  <c r="G33" i="15"/>
  <c r="H33" i="15" s="1"/>
  <c r="G28" i="13"/>
  <c r="G70" i="39"/>
  <c r="H70" i="39" s="1"/>
  <c r="G33" i="17"/>
  <c r="H33" i="17" s="1"/>
  <c r="F10" i="48"/>
  <c r="G10" i="48" s="1"/>
  <c r="F6" i="48"/>
  <c r="G6" i="48" s="1"/>
  <c r="G14" i="58"/>
  <c r="H14" i="58" s="1"/>
  <c r="F12" i="69"/>
  <c r="G12" i="69" s="1"/>
  <c r="E105" i="72"/>
  <c r="F105" i="72" s="1"/>
  <c r="E10" i="72"/>
  <c r="F10" i="72" s="1"/>
  <c r="E104" i="72"/>
  <c r="F104" i="72" s="1"/>
  <c r="E103" i="72"/>
  <c r="F103" i="72" s="1"/>
  <c r="F9" i="77"/>
  <c r="G9" i="77" s="1"/>
  <c r="F24" i="52"/>
  <c r="F25" i="52"/>
  <c r="F26" i="52"/>
  <c r="F27" i="52"/>
  <c r="F28" i="52"/>
  <c r="F23" i="52"/>
  <c r="G88" i="39" l="1"/>
  <c r="H88" i="39" s="1"/>
  <c r="F11" i="69"/>
  <c r="G11" i="69" s="1"/>
  <c r="F35" i="37"/>
  <c r="G35" i="37" s="1"/>
  <c r="G24" i="12"/>
  <c r="H24" i="12" s="1"/>
  <c r="G23" i="12"/>
  <c r="H23" i="12" s="1"/>
  <c r="G53" i="8"/>
  <c r="H53" i="8" s="1"/>
  <c r="G33" i="11"/>
  <c r="H33" i="11" s="1"/>
  <c r="F6" i="22" l="1"/>
  <c r="G6" i="22" s="1"/>
  <c r="F7" i="38" l="1"/>
  <c r="G7" i="38" s="1"/>
  <c r="G87" i="39" l="1"/>
  <c r="H87" i="39" s="1"/>
  <c r="E39" i="72"/>
  <c r="F39" i="72" s="1"/>
  <c r="E38" i="72"/>
  <c r="F38" i="72" s="1"/>
  <c r="G26" i="15"/>
  <c r="H26" i="15" s="1"/>
  <c r="G12" i="27"/>
  <c r="H12" i="27" s="1"/>
  <c r="G16" i="27"/>
  <c r="H16" i="27" s="1"/>
  <c r="G18" i="27"/>
  <c r="H18" i="27" s="1"/>
  <c r="G19" i="27"/>
  <c r="H19" i="27" s="1"/>
  <c r="F34" i="37"/>
  <c r="G34" i="37" s="1"/>
  <c r="H17" i="8"/>
  <c r="G17" i="8"/>
  <c r="G33" i="7"/>
  <c r="H33" i="7" s="1"/>
  <c r="H29" i="9" l="1"/>
  <c r="E102" i="72"/>
  <c r="F102" i="72" s="1"/>
  <c r="F19" i="52"/>
  <c r="G19" i="52" s="1"/>
  <c r="F11" i="71"/>
  <c r="F7" i="54" l="1"/>
  <c r="G7" i="54" s="1"/>
  <c r="G22" i="13"/>
  <c r="E101" i="72"/>
  <c r="F101" i="72" s="1"/>
  <c r="E92" i="72"/>
  <c r="F92" i="72" s="1"/>
  <c r="E91" i="72"/>
  <c r="F91" i="72" s="1"/>
  <c r="G27" i="15"/>
  <c r="H27" i="15" s="1"/>
  <c r="F20" i="49"/>
  <c r="H27" i="9"/>
  <c r="I27" i="9" s="1"/>
  <c r="H26" i="9"/>
  <c r="I26" i="9" s="1"/>
  <c r="G20" i="19"/>
  <c r="F18" i="52"/>
  <c r="G18" i="52" s="1"/>
  <c r="F15" i="48"/>
  <c r="G15" i="48" s="1"/>
  <c r="G31" i="15" l="1"/>
  <c r="H31" i="15" s="1"/>
  <c r="F22" i="71"/>
  <c r="G22" i="71" s="1"/>
  <c r="F39" i="55"/>
  <c r="G39" i="55" s="1"/>
  <c r="G13" i="7" l="1"/>
  <c r="F4" i="54"/>
  <c r="F5" i="54"/>
  <c r="G5" i="54" s="1"/>
  <c r="G38" i="8"/>
  <c r="H38" i="8" s="1"/>
  <c r="G10" i="17"/>
  <c r="H10" i="17" s="1"/>
  <c r="E20" i="72"/>
  <c r="F20" i="72" s="1"/>
  <c r="F10" i="45" l="1"/>
  <c r="E28" i="78" l="1"/>
  <c r="F28" i="78" s="1"/>
  <c r="G4" i="13"/>
  <c r="G6" i="13"/>
  <c r="F33" i="37"/>
  <c r="G33" i="37" s="1"/>
  <c r="G32" i="11"/>
  <c r="H32" i="11" s="1"/>
  <c r="F38" i="55"/>
  <c r="G38" i="55" s="1"/>
  <c r="F37" i="55"/>
  <c r="G37" i="55" s="1"/>
  <c r="F18" i="49"/>
  <c r="G18" i="49" s="1"/>
  <c r="G5" i="13" l="1"/>
  <c r="G4" i="11"/>
  <c r="G32" i="7" l="1"/>
  <c r="H32" i="7" s="1"/>
  <c r="F9" i="37"/>
  <c r="G9" i="37" s="1"/>
  <c r="F22" i="44"/>
  <c r="G22" i="44" s="1"/>
  <c r="F3" i="44"/>
  <c r="E38" i="78"/>
  <c r="F38" i="78" s="1"/>
  <c r="F4" i="33"/>
  <c r="G4" i="33" s="1"/>
  <c r="G24" i="8"/>
  <c r="H24" i="8" s="1"/>
  <c r="G31" i="11"/>
  <c r="H31" i="11" s="1"/>
  <c r="F9" i="45"/>
  <c r="G9" i="45"/>
  <c r="E5" i="78" l="1"/>
  <c r="F5" i="78" s="1"/>
  <c r="F21" i="71" l="1"/>
  <c r="G21" i="71" s="1"/>
  <c r="G39" i="13"/>
  <c r="E26" i="78"/>
  <c r="F26" i="78" s="1"/>
  <c r="G20" i="49"/>
  <c r="G8" i="49"/>
  <c r="F14" i="49"/>
  <c r="G14" i="49" s="1"/>
  <c r="E14" i="78" l="1"/>
  <c r="E6" i="78"/>
  <c r="E22" i="72"/>
  <c r="F22" i="72" s="1"/>
  <c r="E15" i="72"/>
  <c r="F15" i="72" s="1"/>
  <c r="E16" i="72"/>
  <c r="F16" i="72" s="1"/>
  <c r="F26" i="71" l="1"/>
  <c r="G26" i="71" s="1"/>
  <c r="F4" i="71"/>
  <c r="G4" i="71" s="1"/>
  <c r="F9" i="71"/>
  <c r="G9" i="71" s="1"/>
  <c r="F8" i="77"/>
  <c r="G8" i="77" s="1"/>
  <c r="F36" i="55"/>
  <c r="G36" i="55" s="1"/>
  <c r="F35" i="55"/>
  <c r="G35" i="55" s="1"/>
  <c r="F34" i="55"/>
  <c r="G34" i="55" s="1"/>
  <c r="F16" i="52"/>
  <c r="G16" i="52" s="1"/>
  <c r="F4" i="52"/>
  <c r="G4" i="52" s="1"/>
  <c r="G8" i="23" l="1"/>
  <c r="G3" i="34"/>
  <c r="H3" i="34" s="1"/>
  <c r="G6" i="49"/>
  <c r="F13" i="49"/>
  <c r="G13" i="49" s="1"/>
  <c r="G4" i="49"/>
  <c r="F14" i="48"/>
  <c r="G14" i="48" s="1"/>
  <c r="G7" i="43"/>
  <c r="H7" i="43" s="1"/>
  <c r="F18" i="42"/>
  <c r="G18" i="42" s="1"/>
  <c r="F17" i="42"/>
  <c r="G17" i="42" s="1"/>
  <c r="F6" i="42"/>
  <c r="G6" i="42" s="1"/>
  <c r="F7" i="42"/>
  <c r="G7" i="42" s="1"/>
  <c r="F8" i="42"/>
  <c r="G8" i="42" s="1"/>
  <c r="F9" i="42"/>
  <c r="G9" i="42" s="1"/>
  <c r="F10" i="42"/>
  <c r="G10" i="42" s="1"/>
  <c r="F11" i="42"/>
  <c r="G11" i="42" s="1"/>
  <c r="F12" i="42"/>
  <c r="G12" i="42" s="1"/>
  <c r="F13" i="42"/>
  <c r="G13" i="42" s="1"/>
  <c r="F15" i="42"/>
  <c r="G15" i="42" s="1"/>
  <c r="G49" i="39" l="1"/>
  <c r="G48" i="39"/>
  <c r="G47" i="39"/>
  <c r="G51" i="39"/>
  <c r="G18" i="39"/>
  <c r="H18" i="39" s="1"/>
  <c r="G17" i="39"/>
  <c r="H17" i="39" s="1"/>
  <c r="G4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9" i="39"/>
  <c r="G20" i="39"/>
  <c r="G22" i="39"/>
  <c r="G23" i="39"/>
  <c r="G26" i="39"/>
  <c r="G27" i="39"/>
  <c r="G28" i="39"/>
  <c r="G29" i="39"/>
  <c r="G30" i="39"/>
  <c r="G31" i="39"/>
  <c r="G32" i="39"/>
  <c r="G33" i="39"/>
  <c r="G35" i="39"/>
  <c r="G36" i="39"/>
  <c r="G37" i="39"/>
  <c r="G38" i="39"/>
  <c r="G39" i="39"/>
  <c r="G40" i="39"/>
  <c r="G41" i="39"/>
  <c r="G42" i="39"/>
  <c r="G44" i="39"/>
  <c r="G45" i="39"/>
  <c r="G46" i="39"/>
  <c r="G52" i="39"/>
  <c r="G53" i="39"/>
  <c r="G54" i="39"/>
  <c r="G55" i="39"/>
  <c r="G56" i="39"/>
  <c r="G58" i="39"/>
  <c r="G59" i="39"/>
  <c r="G60" i="39"/>
  <c r="G61" i="39"/>
  <c r="G62" i="39"/>
  <c r="G63" i="39"/>
  <c r="G64" i="39"/>
  <c r="G65" i="39"/>
  <c r="G66" i="39"/>
  <c r="G67" i="39"/>
  <c r="G68" i="39"/>
  <c r="G69" i="39"/>
  <c r="G71" i="39"/>
  <c r="G72" i="39"/>
  <c r="G73" i="39"/>
  <c r="G74" i="39"/>
  <c r="G75" i="39"/>
  <c r="G76" i="39"/>
  <c r="G77" i="39"/>
  <c r="G78" i="39"/>
  <c r="G79" i="39"/>
  <c r="G80" i="39"/>
  <c r="G81" i="39"/>
  <c r="G82" i="39"/>
  <c r="G83" i="39"/>
  <c r="G84" i="39"/>
  <c r="G85" i="39"/>
  <c r="G86" i="39"/>
  <c r="G89" i="39"/>
  <c r="H89" i="39" s="1"/>
  <c r="G90" i="39"/>
  <c r="H90" i="39" s="1"/>
  <c r="G3" i="39"/>
  <c r="H3" i="39" s="1"/>
  <c r="F21" i="36"/>
  <c r="G21" i="36" s="1"/>
  <c r="F9" i="35"/>
  <c r="G9" i="35" s="1"/>
  <c r="F8" i="35"/>
  <c r="G8" i="35" s="1"/>
  <c r="F7" i="33"/>
  <c r="G7" i="33" s="1"/>
  <c r="F26" i="31"/>
  <c r="G26" i="31" s="1"/>
  <c r="F25" i="31"/>
  <c r="G25" i="31" s="1"/>
  <c r="F24" i="31"/>
  <c r="G24" i="31" s="1"/>
  <c r="F19" i="31"/>
  <c r="G19" i="31" s="1"/>
  <c r="F35" i="28" l="1"/>
  <c r="G35" i="28" s="1"/>
  <c r="F34" i="28"/>
  <c r="G34" i="28" s="1"/>
  <c r="F10" i="69"/>
  <c r="G10" i="69" s="1"/>
  <c r="G30" i="17"/>
  <c r="H30" i="17" s="1"/>
  <c r="G11" i="23"/>
  <c r="G10" i="23"/>
  <c r="G12" i="23"/>
  <c r="G13" i="23"/>
  <c r="G15" i="17"/>
  <c r="H15" i="17" s="1"/>
  <c r="G24" i="15"/>
  <c r="H24" i="15" s="1"/>
  <c r="G28" i="15"/>
  <c r="H28" i="15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28" i="12"/>
  <c r="H28" i="12" s="1"/>
  <c r="G15" i="12"/>
  <c r="H15" i="12" s="1"/>
  <c r="G13" i="12"/>
  <c r="H13" i="12" s="1"/>
  <c r="G14" i="12"/>
  <c r="H14" i="12" s="1"/>
  <c r="G5" i="12" l="1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34" i="13"/>
  <c r="G19" i="13"/>
  <c r="G24" i="11"/>
  <c r="G26" i="11"/>
  <c r="H26" i="11" s="1"/>
  <c r="G27" i="11"/>
  <c r="H27" i="11" s="1"/>
  <c r="G28" i="11"/>
  <c r="H28" i="11" s="1"/>
  <c r="G30" i="11"/>
  <c r="H30" i="11" s="1"/>
  <c r="G35" i="7"/>
  <c r="H35" i="7" s="1"/>
  <c r="G26" i="7"/>
  <c r="H26" i="7" s="1"/>
  <c r="G38" i="7"/>
  <c r="H38" i="7" s="1"/>
  <c r="G20" i="21" l="1"/>
  <c r="H20" i="21" s="1"/>
  <c r="G48" i="8"/>
  <c r="H48" i="8" s="1"/>
  <c r="G30" i="8"/>
  <c r="H30" i="8" s="1"/>
  <c r="G28" i="8"/>
  <c r="H28" i="8" s="1"/>
  <c r="G5" i="8"/>
  <c r="H5" i="8" s="1"/>
  <c r="G6" i="8"/>
  <c r="H6" i="8" s="1"/>
  <c r="G8" i="8"/>
  <c r="H8" i="8" s="1"/>
  <c r="G9" i="8"/>
  <c r="H9" i="8" s="1"/>
  <c r="G10" i="8"/>
  <c r="H10" i="8" s="1"/>
  <c r="G11" i="8"/>
  <c r="H11" i="8" s="1"/>
  <c r="G12" i="8"/>
  <c r="H12" i="8" s="1"/>
  <c r="G13" i="8"/>
  <c r="H13" i="8" s="1"/>
  <c r="G14" i="8"/>
  <c r="H14" i="8" s="1"/>
  <c r="G15" i="8"/>
  <c r="H15" i="8" s="1"/>
  <c r="G16" i="8"/>
  <c r="H16" i="8" s="1"/>
  <c r="G18" i="8"/>
  <c r="H18" i="8" s="1"/>
  <c r="G19" i="8"/>
  <c r="H19" i="8" s="1"/>
  <c r="G20" i="8"/>
  <c r="H20" i="8" s="1"/>
  <c r="G21" i="8"/>
  <c r="H21" i="8" s="1"/>
  <c r="G22" i="8"/>
  <c r="H22" i="8" s="1"/>
  <c r="G23" i="8"/>
  <c r="H23" i="8" s="1"/>
  <c r="G26" i="8"/>
  <c r="H26" i="8" s="1"/>
  <c r="G27" i="8"/>
  <c r="H27" i="8" s="1"/>
  <c r="G29" i="8"/>
  <c r="H29" i="8" s="1"/>
  <c r="G31" i="8"/>
  <c r="H31" i="8" s="1"/>
  <c r="G32" i="8"/>
  <c r="H32" i="8" s="1"/>
  <c r="G33" i="8"/>
  <c r="H33" i="8" s="1"/>
  <c r="G34" i="8"/>
  <c r="H34" i="8" s="1"/>
  <c r="G35" i="8"/>
  <c r="H35" i="8" s="1"/>
  <c r="G36" i="8"/>
  <c r="H36" i="8" s="1"/>
  <c r="G37" i="8"/>
  <c r="H37" i="8" s="1"/>
  <c r="G39" i="8"/>
  <c r="H39" i="8" s="1"/>
  <c r="G40" i="8"/>
  <c r="H40" i="8" s="1"/>
  <c r="G41" i="8"/>
  <c r="H41" i="8" s="1"/>
  <c r="G42" i="8"/>
  <c r="H42" i="8" s="1"/>
  <c r="G43" i="8"/>
  <c r="H43" i="8" s="1"/>
  <c r="G44" i="8"/>
  <c r="H44" i="8" s="1"/>
  <c r="G45" i="8"/>
  <c r="H45" i="8" s="1"/>
  <c r="G46" i="8"/>
  <c r="H46" i="8" s="1"/>
  <c r="G47" i="8"/>
  <c r="H47" i="8" s="1"/>
  <c r="G49" i="8"/>
  <c r="H49" i="8" s="1"/>
  <c r="G50" i="8"/>
  <c r="H50" i="8" s="1"/>
  <c r="G51" i="8"/>
  <c r="H51" i="8" s="1"/>
  <c r="G52" i="8"/>
  <c r="H52" i="8" s="1"/>
  <c r="F6" i="78" l="1"/>
  <c r="F12" i="78"/>
  <c r="E4" i="78"/>
  <c r="F4" i="78" s="1"/>
  <c r="E7" i="78"/>
  <c r="F7" i="78" s="1"/>
  <c r="E8" i="78"/>
  <c r="F8" i="78" s="1"/>
  <c r="E9" i="78"/>
  <c r="F9" i="78" s="1"/>
  <c r="E10" i="78"/>
  <c r="F10" i="78" s="1"/>
  <c r="E11" i="78"/>
  <c r="F11" i="78" s="1"/>
  <c r="E12" i="78"/>
  <c r="F14" i="78"/>
  <c r="E15" i="78"/>
  <c r="F15" i="78" s="1"/>
  <c r="E16" i="78"/>
  <c r="F16" i="78" s="1"/>
  <c r="E17" i="78"/>
  <c r="F17" i="78" s="1"/>
  <c r="E18" i="78"/>
  <c r="F18" i="78" s="1"/>
  <c r="E19" i="78"/>
  <c r="F19" i="78" s="1"/>
  <c r="E20" i="78"/>
  <c r="F20" i="78" s="1"/>
  <c r="E21" i="78"/>
  <c r="F21" i="78" s="1"/>
  <c r="E22" i="78"/>
  <c r="F22" i="78" s="1"/>
  <c r="E23" i="78"/>
  <c r="F23" i="78" s="1"/>
  <c r="E25" i="78"/>
  <c r="F25" i="78" s="1"/>
  <c r="E27" i="78"/>
  <c r="F27" i="78" s="1"/>
  <c r="E29" i="78"/>
  <c r="F29" i="78" s="1"/>
  <c r="E31" i="78"/>
  <c r="F31" i="78" s="1"/>
  <c r="E32" i="78"/>
  <c r="F32" i="78" s="1"/>
  <c r="E33" i="78"/>
  <c r="F33" i="78" s="1"/>
  <c r="E34" i="78"/>
  <c r="F34" i="78" s="1"/>
  <c r="E36" i="78"/>
  <c r="F36" i="78" s="1"/>
  <c r="E37" i="78"/>
  <c r="F37" i="78" s="1"/>
  <c r="E39" i="78"/>
  <c r="F39" i="78" s="1"/>
  <c r="E41" i="78"/>
  <c r="F41" i="78" s="1"/>
  <c r="E42" i="78"/>
  <c r="F42" i="78" s="1"/>
  <c r="E43" i="78"/>
  <c r="F43" i="78" s="1"/>
  <c r="E3" i="78"/>
  <c r="F3" i="78" s="1"/>
  <c r="E99" i="72"/>
  <c r="F99" i="72" s="1"/>
  <c r="E95" i="72"/>
  <c r="F95" i="72" s="1"/>
  <c r="E96" i="72"/>
  <c r="F96" i="72" s="1"/>
  <c r="E97" i="72"/>
  <c r="F97" i="72" s="1"/>
  <c r="E98" i="72"/>
  <c r="F98" i="72" s="1"/>
  <c r="E23" i="72"/>
  <c r="F23" i="72" s="1"/>
  <c r="E24" i="72"/>
  <c r="F24" i="72" s="1"/>
  <c r="E26" i="72"/>
  <c r="F26" i="72" s="1"/>
  <c r="E27" i="72"/>
  <c r="F27" i="72" s="1"/>
  <c r="E28" i="72"/>
  <c r="F28" i="72" s="1"/>
  <c r="E29" i="72"/>
  <c r="F29" i="72" s="1"/>
  <c r="E30" i="72"/>
  <c r="F30" i="72" s="1"/>
  <c r="E31" i="72"/>
  <c r="F31" i="72" s="1"/>
  <c r="E32" i="72"/>
  <c r="F32" i="72" s="1"/>
  <c r="E33" i="72"/>
  <c r="F33" i="72" s="1"/>
  <c r="E34" i="72"/>
  <c r="F34" i="72" s="1"/>
  <c r="E35" i="72"/>
  <c r="F35" i="72" s="1"/>
  <c r="E36" i="72"/>
  <c r="F36" i="72" s="1"/>
  <c r="E37" i="72"/>
  <c r="F37" i="72" s="1"/>
  <c r="E40" i="72"/>
  <c r="F40" i="72" s="1"/>
  <c r="E41" i="72"/>
  <c r="F41" i="72" s="1"/>
  <c r="E42" i="72"/>
  <c r="F42" i="72" s="1"/>
  <c r="E43" i="72"/>
  <c r="F43" i="72" s="1"/>
  <c r="E45" i="72"/>
  <c r="F45" i="72" s="1"/>
  <c r="E46" i="72"/>
  <c r="F46" i="72" s="1"/>
  <c r="E48" i="72"/>
  <c r="F48" i="72" s="1"/>
  <c r="E49" i="72"/>
  <c r="F49" i="72" s="1"/>
  <c r="E50" i="72"/>
  <c r="F50" i="72" s="1"/>
  <c r="E51" i="72"/>
  <c r="F51" i="72" s="1"/>
  <c r="E52" i="72"/>
  <c r="F52" i="72" s="1"/>
  <c r="E54" i="72"/>
  <c r="F54" i="72" s="1"/>
  <c r="E55" i="72"/>
  <c r="F55" i="72" s="1"/>
  <c r="E56" i="72"/>
  <c r="F56" i="72" s="1"/>
  <c r="E57" i="72"/>
  <c r="F57" i="72" s="1"/>
  <c r="E59" i="72"/>
  <c r="F59" i="72" s="1"/>
  <c r="E60" i="72"/>
  <c r="F60" i="72" s="1"/>
  <c r="E61" i="72"/>
  <c r="F61" i="72" s="1"/>
  <c r="E62" i="72"/>
  <c r="F62" i="72" s="1"/>
  <c r="E63" i="72"/>
  <c r="F63" i="72" s="1"/>
  <c r="E64" i="72"/>
  <c r="F64" i="72" s="1"/>
  <c r="E65" i="72"/>
  <c r="F65" i="72" s="1"/>
  <c r="E66" i="72"/>
  <c r="F66" i="72" s="1"/>
  <c r="E67" i="72"/>
  <c r="F67" i="72" s="1"/>
  <c r="E68" i="72"/>
  <c r="F68" i="72" s="1"/>
  <c r="E69" i="72"/>
  <c r="F69" i="72" s="1"/>
  <c r="E70" i="72"/>
  <c r="F70" i="72" s="1"/>
  <c r="E71" i="72"/>
  <c r="F71" i="72" s="1"/>
  <c r="E72" i="72"/>
  <c r="F72" i="72" s="1"/>
  <c r="E73" i="72"/>
  <c r="F73" i="72" s="1"/>
  <c r="E74" i="72"/>
  <c r="F74" i="72" s="1"/>
  <c r="E75" i="72"/>
  <c r="F75" i="72" s="1"/>
  <c r="E76" i="72"/>
  <c r="F76" i="72" s="1"/>
  <c r="E77" i="72"/>
  <c r="F77" i="72" s="1"/>
  <c r="E78" i="72"/>
  <c r="F78" i="72" s="1"/>
  <c r="E79" i="72"/>
  <c r="F79" i="72" s="1"/>
  <c r="E80" i="72"/>
  <c r="F80" i="72" s="1"/>
  <c r="E81" i="72"/>
  <c r="F81" i="72" s="1"/>
  <c r="E82" i="72"/>
  <c r="F82" i="72" s="1"/>
  <c r="E83" i="72"/>
  <c r="F83" i="72" s="1"/>
  <c r="E84" i="72"/>
  <c r="F84" i="72" s="1"/>
  <c r="E85" i="72"/>
  <c r="F85" i="72" s="1"/>
  <c r="E86" i="72"/>
  <c r="F86" i="72" s="1"/>
  <c r="E87" i="72"/>
  <c r="F87" i="72" s="1"/>
  <c r="E88" i="72"/>
  <c r="F88" i="72" s="1"/>
  <c r="E89" i="72"/>
  <c r="F89" i="72" s="1"/>
  <c r="E90" i="72"/>
  <c r="F90" i="72" s="1"/>
  <c r="E93" i="72"/>
  <c r="F93" i="72" s="1"/>
  <c r="E94" i="72"/>
  <c r="F94" i="72" s="1"/>
  <c r="E18" i="72"/>
  <c r="F18" i="72" s="1"/>
  <c r="E13" i="72"/>
  <c r="F13" i="72" s="1"/>
  <c r="E14" i="72"/>
  <c r="F14" i="72" s="1"/>
  <c r="E17" i="72"/>
  <c r="F17" i="72" s="1"/>
  <c r="E19" i="72"/>
  <c r="F19" i="72" s="1"/>
  <c r="E21" i="72"/>
  <c r="F21" i="72" s="1"/>
  <c r="E12" i="72"/>
  <c r="F12" i="72" s="1"/>
  <c r="E11" i="72"/>
  <c r="F11" i="72" s="1"/>
  <c r="E9" i="72"/>
  <c r="F9" i="72" s="1"/>
  <c r="F5" i="71"/>
  <c r="G5" i="71" s="1"/>
  <c r="F6" i="71"/>
  <c r="G6" i="71" s="1"/>
  <c r="F7" i="71"/>
  <c r="G7" i="71" s="1"/>
  <c r="F8" i="71"/>
  <c r="G8" i="71" s="1"/>
  <c r="G11" i="71"/>
  <c r="F12" i="71"/>
  <c r="G12" i="71" s="1"/>
  <c r="F13" i="71"/>
  <c r="G13" i="71" s="1"/>
  <c r="F15" i="71"/>
  <c r="G15" i="71" s="1"/>
  <c r="F16" i="71"/>
  <c r="G16" i="71" s="1"/>
  <c r="F17" i="71"/>
  <c r="G17" i="71" s="1"/>
  <c r="F19" i="71"/>
  <c r="G19" i="71" s="1"/>
  <c r="F24" i="71"/>
  <c r="G24" i="71" s="1"/>
  <c r="F25" i="71"/>
  <c r="G25" i="71" s="1"/>
  <c r="F3" i="71"/>
  <c r="G3" i="71" s="1"/>
  <c r="G7" i="60"/>
  <c r="G8" i="60"/>
  <c r="G10" i="60"/>
  <c r="G11" i="60"/>
  <c r="G15" i="60"/>
  <c r="G16" i="60"/>
  <c r="G18" i="60"/>
  <c r="G19" i="60"/>
  <c r="G23" i="60"/>
  <c r="G24" i="60"/>
  <c r="G26" i="60"/>
  <c r="G27" i="60"/>
  <c r="F4" i="60"/>
  <c r="G4" i="60" s="1"/>
  <c r="F5" i="60"/>
  <c r="G5" i="60" s="1"/>
  <c r="F6" i="60"/>
  <c r="G6" i="60" s="1"/>
  <c r="F7" i="60"/>
  <c r="F8" i="60"/>
  <c r="F9" i="60"/>
  <c r="G9" i="60" s="1"/>
  <c r="F10" i="60"/>
  <c r="F11" i="60"/>
  <c r="F12" i="60"/>
  <c r="G12" i="60" s="1"/>
  <c r="F13" i="60"/>
  <c r="G13" i="60" s="1"/>
  <c r="F14" i="60"/>
  <c r="G14" i="60" s="1"/>
  <c r="F15" i="60"/>
  <c r="F16" i="60"/>
  <c r="F17" i="60"/>
  <c r="G17" i="60" s="1"/>
  <c r="F18" i="60"/>
  <c r="F19" i="60"/>
  <c r="F20" i="60"/>
  <c r="G20" i="60" s="1"/>
  <c r="F21" i="60"/>
  <c r="G21" i="60" s="1"/>
  <c r="F22" i="60"/>
  <c r="G22" i="60" s="1"/>
  <c r="F23" i="60"/>
  <c r="F24" i="60"/>
  <c r="F25" i="60"/>
  <c r="G25" i="60" s="1"/>
  <c r="F26" i="60"/>
  <c r="F27" i="60"/>
  <c r="F28" i="60"/>
  <c r="G28" i="60" s="1"/>
  <c r="F3" i="60"/>
  <c r="G3" i="60" s="1"/>
  <c r="G4" i="59"/>
  <c r="G8" i="59"/>
  <c r="F4" i="59"/>
  <c r="F5" i="59"/>
  <c r="G5" i="59" s="1"/>
  <c r="F6" i="59"/>
  <c r="G6" i="59" s="1"/>
  <c r="F7" i="59"/>
  <c r="G7" i="59" s="1"/>
  <c r="F8" i="59"/>
  <c r="G3" i="59"/>
  <c r="G4" i="58"/>
  <c r="H4" i="58" s="1"/>
  <c r="G5" i="58"/>
  <c r="H5" i="58" s="1"/>
  <c r="G6" i="58"/>
  <c r="H6" i="58" s="1"/>
  <c r="G7" i="58"/>
  <c r="H7" i="58" s="1"/>
  <c r="G8" i="58"/>
  <c r="H8" i="58" s="1"/>
  <c r="G9" i="58"/>
  <c r="H9" i="58" s="1"/>
  <c r="G10" i="58"/>
  <c r="H10" i="58" s="1"/>
  <c r="G11" i="58"/>
  <c r="H11" i="58" s="1"/>
  <c r="G13" i="58"/>
  <c r="H13" i="58" s="1"/>
  <c r="G15" i="58"/>
  <c r="H15" i="58" s="1"/>
  <c r="G16" i="58"/>
  <c r="H16" i="58" s="1"/>
  <c r="G17" i="58"/>
  <c r="H17" i="58" s="1"/>
  <c r="G18" i="58"/>
  <c r="H18" i="58" s="1"/>
  <c r="G3" i="58"/>
  <c r="H3" i="58" s="1"/>
  <c r="H29" i="58"/>
  <c r="G29" i="58"/>
  <c r="F15" i="57"/>
  <c r="F16" i="57"/>
  <c r="F14" i="57"/>
  <c r="G14" i="57" s="1"/>
  <c r="F12" i="57"/>
  <c r="F4" i="77"/>
  <c r="G4" i="77" s="1"/>
  <c r="F6" i="77"/>
  <c r="G6" i="77" s="1"/>
  <c r="F7" i="77"/>
  <c r="G7" i="77" s="1"/>
  <c r="F3" i="77"/>
  <c r="G3" i="77" s="1"/>
  <c r="F4" i="55"/>
  <c r="G4" i="55" s="1"/>
  <c r="G5" i="55"/>
  <c r="G6" i="55"/>
  <c r="F8" i="55"/>
  <c r="G8" i="55" s="1"/>
  <c r="F9" i="55"/>
  <c r="G9" i="55" s="1"/>
  <c r="F10" i="55"/>
  <c r="G10" i="55" s="1"/>
  <c r="F11" i="55"/>
  <c r="G11" i="55" s="1"/>
  <c r="F13" i="55"/>
  <c r="G13" i="55" s="1"/>
  <c r="F14" i="55"/>
  <c r="G14" i="55" s="1"/>
  <c r="F15" i="55"/>
  <c r="G15" i="55" s="1"/>
  <c r="F17" i="55"/>
  <c r="G17" i="55" s="1"/>
  <c r="F18" i="55"/>
  <c r="G18" i="55" s="1"/>
  <c r="F19" i="55"/>
  <c r="G19" i="55" s="1"/>
  <c r="F20" i="55"/>
  <c r="G20" i="55" s="1"/>
  <c r="F21" i="55"/>
  <c r="G21" i="55" s="1"/>
  <c r="F23" i="55"/>
  <c r="G23" i="55" s="1"/>
  <c r="F24" i="55"/>
  <c r="G24" i="55" s="1"/>
  <c r="F25" i="55"/>
  <c r="G25" i="55" s="1"/>
  <c r="F26" i="55"/>
  <c r="G26" i="55" s="1"/>
  <c r="F27" i="55"/>
  <c r="G27" i="55" s="1"/>
  <c r="F28" i="55"/>
  <c r="G28" i="55" s="1"/>
  <c r="F30" i="55"/>
  <c r="G30" i="55" s="1"/>
  <c r="F31" i="55"/>
  <c r="G31" i="55" s="1"/>
  <c r="F32" i="55"/>
  <c r="G32" i="55" s="1"/>
  <c r="F33" i="55"/>
  <c r="G33" i="55" s="1"/>
  <c r="F3" i="55"/>
  <c r="G3" i="55" s="1"/>
  <c r="F13" i="54"/>
  <c r="G13" i="54" s="1"/>
  <c r="F14" i="54"/>
  <c r="G14" i="54" s="1"/>
  <c r="F15" i="54"/>
  <c r="G15" i="54" s="1"/>
  <c r="F17" i="54"/>
  <c r="G17" i="54" s="1"/>
  <c r="F18" i="54"/>
  <c r="G18" i="54" s="1"/>
  <c r="F11" i="54"/>
  <c r="G11" i="54" s="1"/>
  <c r="F3" i="54"/>
  <c r="G3" i="54" s="1"/>
  <c r="G4" i="54"/>
  <c r="F6" i="54"/>
  <c r="G6" i="54" s="1"/>
  <c r="G4" i="53"/>
  <c r="F5" i="53"/>
  <c r="G5" i="53" s="1"/>
  <c r="F6" i="53"/>
  <c r="G6" i="53" s="1"/>
  <c r="F7" i="53"/>
  <c r="G7" i="53" s="1"/>
  <c r="F8" i="53"/>
  <c r="G8" i="53" s="1"/>
  <c r="F9" i="53"/>
  <c r="G9" i="53" s="1"/>
  <c r="F10" i="53"/>
  <c r="G10" i="53" s="1"/>
  <c r="G11" i="53"/>
  <c r="F12" i="53"/>
  <c r="G12" i="53" s="1"/>
  <c r="F13" i="53"/>
  <c r="G13" i="53" s="1"/>
  <c r="F14" i="53"/>
  <c r="G14" i="53" s="1"/>
  <c r="F3" i="53"/>
  <c r="G3" i="53" s="1"/>
  <c r="G25" i="52"/>
  <c r="G26" i="52"/>
  <c r="G28" i="52"/>
  <c r="G24" i="52"/>
  <c r="G27" i="52"/>
  <c r="F17" i="52"/>
  <c r="G17" i="52" s="1"/>
  <c r="F5" i="52"/>
  <c r="G5" i="52" s="1"/>
  <c r="F6" i="52"/>
  <c r="G6" i="52" s="1"/>
  <c r="F7" i="52"/>
  <c r="G7" i="52" s="1"/>
  <c r="F8" i="52"/>
  <c r="G8" i="52" s="1"/>
  <c r="F9" i="52"/>
  <c r="G9" i="52" s="1"/>
  <c r="F10" i="52"/>
  <c r="G10" i="52" s="1"/>
  <c r="F11" i="52"/>
  <c r="G11" i="52" s="1"/>
  <c r="F13" i="52"/>
  <c r="G13" i="52" s="1"/>
  <c r="F14" i="52"/>
  <c r="G14" i="52" s="1"/>
  <c r="F15" i="52"/>
  <c r="G15" i="52" s="1"/>
  <c r="F3" i="52"/>
  <c r="G3" i="52" s="1"/>
  <c r="F22" i="51"/>
  <c r="G22" i="51" s="1"/>
  <c r="F23" i="51"/>
  <c r="G23" i="51" s="1"/>
  <c r="F24" i="51"/>
  <c r="G24" i="51" s="1"/>
  <c r="F25" i="51"/>
  <c r="G25" i="51" s="1"/>
  <c r="F26" i="51"/>
  <c r="G26" i="51" s="1"/>
  <c r="F27" i="51"/>
  <c r="G27" i="51" s="1"/>
  <c r="F21" i="51"/>
  <c r="G21" i="51" s="1"/>
  <c r="F4" i="51"/>
  <c r="G4" i="51" s="1"/>
  <c r="F5" i="51"/>
  <c r="G5" i="51" s="1"/>
  <c r="F6" i="51"/>
  <c r="G6" i="51" s="1"/>
  <c r="F7" i="51"/>
  <c r="G7" i="51" s="1"/>
  <c r="F8" i="51"/>
  <c r="G8" i="51" s="1"/>
  <c r="F9" i="51"/>
  <c r="G9" i="51" s="1"/>
  <c r="F11" i="51"/>
  <c r="G11" i="51" s="1"/>
  <c r="F12" i="51"/>
  <c r="G12" i="51" s="1"/>
  <c r="F13" i="51"/>
  <c r="G13" i="51" s="1"/>
  <c r="F14" i="51"/>
  <c r="G14" i="51" s="1"/>
  <c r="F15" i="51"/>
  <c r="G15" i="51" s="1"/>
  <c r="F16" i="51"/>
  <c r="G16" i="51" s="1"/>
  <c r="F17" i="51"/>
  <c r="G17" i="51" s="1"/>
  <c r="F18" i="51"/>
  <c r="G18" i="51" s="1"/>
  <c r="F3" i="51"/>
  <c r="G3" i="51" s="1"/>
  <c r="F4" i="50"/>
  <c r="G4" i="50" s="1"/>
  <c r="F5" i="50"/>
  <c r="G5" i="50" s="1"/>
  <c r="F6" i="50"/>
  <c r="G6" i="50" s="1"/>
  <c r="F7" i="50"/>
  <c r="G7" i="50" s="1"/>
  <c r="F8" i="50"/>
  <c r="G8" i="50" s="1"/>
  <c r="F9" i="50"/>
  <c r="G9" i="50" s="1"/>
  <c r="F10" i="50"/>
  <c r="G10" i="50" s="1"/>
  <c r="F11" i="50"/>
  <c r="G11" i="50" s="1"/>
  <c r="F12" i="50"/>
  <c r="G12" i="50" s="1"/>
  <c r="G13" i="50"/>
  <c r="F14" i="50"/>
  <c r="G14" i="50" s="1"/>
  <c r="F15" i="50"/>
  <c r="G15" i="50" s="1"/>
  <c r="F3" i="50"/>
  <c r="G3" i="50" s="1"/>
  <c r="G5" i="49"/>
  <c r="G7" i="49"/>
  <c r="F9" i="49"/>
  <c r="G9" i="49" s="1"/>
  <c r="F10" i="49"/>
  <c r="G10" i="49" s="1"/>
  <c r="F11" i="49"/>
  <c r="G11" i="49" s="1"/>
  <c r="F12" i="49"/>
  <c r="G12" i="49" s="1"/>
  <c r="F15" i="49"/>
  <c r="G15" i="49" s="1"/>
  <c r="F16" i="49"/>
  <c r="G16" i="49" s="1"/>
  <c r="G17" i="49"/>
  <c r="F19" i="49"/>
  <c r="G19" i="49" s="1"/>
  <c r="F3" i="49"/>
  <c r="G3" i="49" s="1"/>
  <c r="F4" i="48"/>
  <c r="G4" i="48" s="1"/>
  <c r="F5" i="48"/>
  <c r="G5" i="48" s="1"/>
  <c r="F7" i="48"/>
  <c r="G7" i="48" s="1"/>
  <c r="F8" i="48"/>
  <c r="G8" i="48" s="1"/>
  <c r="F9" i="48"/>
  <c r="G9" i="48" s="1"/>
  <c r="F12" i="48"/>
  <c r="G12" i="48" s="1"/>
  <c r="F3" i="48"/>
  <c r="G3" i="48" s="1"/>
  <c r="F4" i="47"/>
  <c r="G4" i="47" s="1"/>
  <c r="F5" i="47"/>
  <c r="G5" i="47" s="1"/>
  <c r="F6" i="47"/>
  <c r="G6" i="47" s="1"/>
  <c r="F7" i="47"/>
  <c r="G7" i="47" s="1"/>
  <c r="F8" i="47"/>
  <c r="G8" i="47" s="1"/>
  <c r="F9" i="47"/>
  <c r="G9" i="47" s="1"/>
  <c r="F3" i="47"/>
  <c r="G3" i="47" s="1"/>
  <c r="F4" i="46"/>
  <c r="G4" i="46" s="1"/>
  <c r="F5" i="46"/>
  <c r="G5" i="46" s="1"/>
  <c r="F6" i="46"/>
  <c r="G6" i="46" s="1"/>
  <c r="F7" i="46"/>
  <c r="G7" i="46" s="1"/>
  <c r="F8" i="46"/>
  <c r="G8" i="46" s="1"/>
  <c r="F9" i="46"/>
  <c r="G9" i="46" s="1"/>
  <c r="F10" i="46"/>
  <c r="G10" i="46" s="1"/>
  <c r="F11" i="46"/>
  <c r="G11" i="46" s="1"/>
  <c r="F12" i="46"/>
  <c r="G12" i="46" s="1"/>
  <c r="F13" i="46"/>
  <c r="G13" i="46" s="1"/>
  <c r="F3" i="46"/>
  <c r="G3" i="46" s="1"/>
  <c r="F4" i="45"/>
  <c r="G4" i="45" s="1"/>
  <c r="F5" i="45"/>
  <c r="G5" i="45" s="1"/>
  <c r="F6" i="45"/>
  <c r="G6" i="45" s="1"/>
  <c r="F7" i="45"/>
  <c r="G7" i="45" s="1"/>
  <c r="F8" i="45"/>
  <c r="G8" i="45" s="1"/>
  <c r="F3" i="45"/>
  <c r="G3" i="45" s="1"/>
  <c r="G7" i="44"/>
  <c r="G8" i="44"/>
  <c r="G20" i="44"/>
  <c r="G21" i="44"/>
  <c r="F4" i="44"/>
  <c r="G4" i="44" s="1"/>
  <c r="F5" i="44"/>
  <c r="G5" i="44" s="1"/>
  <c r="F6" i="44"/>
  <c r="G6" i="44" s="1"/>
  <c r="F7" i="44"/>
  <c r="F8" i="44"/>
  <c r="F9" i="44"/>
  <c r="G9" i="44" s="1"/>
  <c r="F10" i="44"/>
  <c r="G10" i="44" s="1"/>
  <c r="F11" i="44"/>
  <c r="G11" i="44" s="1"/>
  <c r="F12" i="44"/>
  <c r="G12" i="44" s="1"/>
  <c r="F13" i="44"/>
  <c r="G13" i="44" s="1"/>
  <c r="F14" i="44"/>
  <c r="G14" i="44" s="1"/>
  <c r="F15" i="44"/>
  <c r="G15" i="44" s="1"/>
  <c r="F16" i="44"/>
  <c r="G16" i="44" s="1"/>
  <c r="F17" i="44"/>
  <c r="G17" i="44" s="1"/>
  <c r="F18" i="44"/>
  <c r="G18" i="44" s="1"/>
  <c r="F19" i="44"/>
  <c r="G19" i="44" s="1"/>
  <c r="F20" i="44"/>
  <c r="F21" i="44"/>
  <c r="G3" i="44"/>
  <c r="F23" i="43"/>
  <c r="G23" i="43" s="1"/>
  <c r="F24" i="43"/>
  <c r="G24" i="43" s="1"/>
  <c r="F25" i="43"/>
  <c r="G25" i="43" s="1"/>
  <c r="F22" i="43"/>
  <c r="G22" i="43" s="1"/>
  <c r="G9" i="43"/>
  <c r="H9" i="43" s="1"/>
  <c r="G4" i="43"/>
  <c r="H4" i="43" s="1"/>
  <c r="G5" i="43"/>
  <c r="G6" i="43"/>
  <c r="H6" i="43" s="1"/>
  <c r="G13" i="43"/>
  <c r="H13" i="43" s="1"/>
  <c r="G15" i="43"/>
  <c r="H15" i="43" s="1"/>
  <c r="G3" i="43"/>
  <c r="H3" i="43" s="1"/>
  <c r="G3" i="42"/>
  <c r="F11" i="41"/>
  <c r="G11" i="41" s="1"/>
  <c r="G7" i="41"/>
  <c r="G8" i="41"/>
  <c r="F3" i="41"/>
  <c r="G3" i="41" s="1"/>
  <c r="F4" i="41"/>
  <c r="G4" i="41" s="1"/>
  <c r="F5" i="41"/>
  <c r="G5" i="41" s="1"/>
  <c r="F6" i="41"/>
  <c r="G6" i="41" s="1"/>
  <c r="F7" i="41"/>
  <c r="F8" i="41"/>
  <c r="F17" i="40"/>
  <c r="G17" i="40" s="1"/>
  <c r="F18" i="40"/>
  <c r="G18" i="40" s="1"/>
  <c r="F20" i="40"/>
  <c r="G20" i="40" s="1"/>
  <c r="F21" i="40"/>
  <c r="G21" i="40" s="1"/>
  <c r="F16" i="40"/>
  <c r="G16" i="40" s="1"/>
  <c r="H4" i="40"/>
  <c r="G6" i="40"/>
  <c r="H6" i="40" s="1"/>
  <c r="G7" i="40"/>
  <c r="H7" i="40" s="1"/>
  <c r="G9" i="40"/>
  <c r="H9" i="40" s="1"/>
  <c r="G10" i="40"/>
  <c r="H10" i="40" s="1"/>
  <c r="G3" i="40"/>
  <c r="H3" i="40" s="1"/>
  <c r="F30" i="37" l="1"/>
  <c r="G30" i="37" s="1"/>
  <c r="F31" i="37"/>
  <c r="G31" i="37" s="1"/>
  <c r="F32" i="37"/>
  <c r="G32" i="37" s="1"/>
  <c r="F29" i="37"/>
  <c r="G29" i="37" s="1"/>
  <c r="F5" i="37"/>
  <c r="G5" i="37" s="1"/>
  <c r="F6" i="37"/>
  <c r="G6" i="37" s="1"/>
  <c r="F7" i="37"/>
  <c r="G7" i="37" s="1"/>
  <c r="F8" i="37"/>
  <c r="G8" i="37" s="1"/>
  <c r="F10" i="37"/>
  <c r="G10" i="37" s="1"/>
  <c r="F11" i="37"/>
  <c r="G11" i="37" s="1"/>
  <c r="F12" i="37"/>
  <c r="G12" i="37" s="1"/>
  <c r="F13" i="37"/>
  <c r="G13" i="37" s="1"/>
  <c r="F15" i="37"/>
  <c r="G15" i="37" s="1"/>
  <c r="F16" i="37"/>
  <c r="G16" i="37" s="1"/>
  <c r="G17" i="37"/>
  <c r="G18" i="37"/>
  <c r="F19" i="37"/>
  <c r="G19" i="37" s="1"/>
  <c r="F20" i="37"/>
  <c r="G20" i="37" s="1"/>
  <c r="F21" i="37"/>
  <c r="G21" i="37" s="1"/>
  <c r="F22" i="37"/>
  <c r="G22" i="37" s="1"/>
  <c r="F23" i="37"/>
  <c r="G23" i="37" s="1"/>
  <c r="F24" i="37"/>
  <c r="G24" i="37" s="1"/>
  <c r="F25" i="37"/>
  <c r="G25" i="37" s="1"/>
  <c r="F26" i="37"/>
  <c r="G26" i="37" s="1"/>
  <c r="F3" i="37"/>
  <c r="G3" i="37" s="1"/>
  <c r="F11" i="38"/>
  <c r="G11" i="38" s="1"/>
  <c r="F10" i="38"/>
  <c r="G10" i="38" s="1"/>
  <c r="F4" i="38"/>
  <c r="G4" i="38" s="1"/>
  <c r="F5" i="38"/>
  <c r="G5" i="38" s="1"/>
  <c r="F6" i="38"/>
  <c r="G6" i="38" s="1"/>
  <c r="F3" i="38"/>
  <c r="G3" i="38" s="1"/>
  <c r="H5" i="39"/>
  <c r="H6" i="39"/>
  <c r="H7" i="39"/>
  <c r="H8" i="39"/>
  <c r="H9" i="39"/>
  <c r="H10" i="39"/>
  <c r="H11" i="39"/>
  <c r="H12" i="39"/>
  <c r="H13" i="39"/>
  <c r="H14" i="39"/>
  <c r="H15" i="39"/>
  <c r="H16" i="39"/>
  <c r="H19" i="39"/>
  <c r="H20" i="39"/>
  <c r="H22" i="39"/>
  <c r="H23" i="39"/>
  <c r="H26" i="39"/>
  <c r="H27" i="39"/>
  <c r="H28" i="39"/>
  <c r="H29" i="39"/>
  <c r="H30" i="39"/>
  <c r="H31" i="39"/>
  <c r="H32" i="39"/>
  <c r="H33" i="39"/>
  <c r="H35" i="39"/>
  <c r="H36" i="39"/>
  <c r="H37" i="39"/>
  <c r="H38" i="39"/>
  <c r="H39" i="39"/>
  <c r="H40" i="39"/>
  <c r="H41" i="39"/>
  <c r="H42" i="39"/>
  <c r="H44" i="39"/>
  <c r="H45" i="39"/>
  <c r="H46" i="39"/>
  <c r="H47" i="39"/>
  <c r="H48" i="39"/>
  <c r="H49" i="39"/>
  <c r="H51" i="39"/>
  <c r="H52" i="39"/>
  <c r="H53" i="39"/>
  <c r="H54" i="39"/>
  <c r="H55" i="39"/>
  <c r="H56" i="39"/>
  <c r="H58" i="39"/>
  <c r="H59" i="39"/>
  <c r="H60" i="39"/>
  <c r="H61" i="39"/>
  <c r="H62" i="39"/>
  <c r="H63" i="39"/>
  <c r="H64" i="39"/>
  <c r="H65" i="39"/>
  <c r="H66" i="39"/>
  <c r="H67" i="39"/>
  <c r="H68" i="39"/>
  <c r="H69" i="39"/>
  <c r="H71" i="39"/>
  <c r="H72" i="39"/>
  <c r="H73" i="39"/>
  <c r="H74" i="39"/>
  <c r="H75" i="39"/>
  <c r="H76" i="39"/>
  <c r="H77" i="39"/>
  <c r="H78" i="39"/>
  <c r="H79" i="39"/>
  <c r="H80" i="39"/>
  <c r="H81" i="39"/>
  <c r="H82" i="39"/>
  <c r="H83" i="39"/>
  <c r="H84" i="39"/>
  <c r="H85" i="39"/>
  <c r="H86" i="39"/>
  <c r="H4" i="39"/>
  <c r="F4" i="36" l="1"/>
  <c r="G4" i="36" s="1"/>
  <c r="F5" i="36"/>
  <c r="G5" i="36" s="1"/>
  <c r="F6" i="36"/>
  <c r="G6" i="36" s="1"/>
  <c r="F7" i="36"/>
  <c r="G7" i="36" s="1"/>
  <c r="F8" i="36"/>
  <c r="G8" i="36" s="1"/>
  <c r="F9" i="36"/>
  <c r="G9" i="36" s="1"/>
  <c r="F10" i="36"/>
  <c r="G10" i="36" s="1"/>
  <c r="F11" i="36"/>
  <c r="G11" i="36" s="1"/>
  <c r="F12" i="36"/>
  <c r="G12" i="36" s="1"/>
  <c r="F13" i="36"/>
  <c r="G13" i="36" s="1"/>
  <c r="F14" i="36"/>
  <c r="G14" i="36" s="1"/>
  <c r="F15" i="36"/>
  <c r="G15" i="36" s="1"/>
  <c r="F16" i="36"/>
  <c r="G16" i="36" s="1"/>
  <c r="F17" i="36"/>
  <c r="G17" i="36" s="1"/>
  <c r="F18" i="36"/>
  <c r="G18" i="36" s="1"/>
  <c r="F19" i="36"/>
  <c r="G19" i="36" s="1"/>
  <c r="F20" i="36"/>
  <c r="G20" i="36" s="1"/>
  <c r="F3" i="36"/>
  <c r="G3" i="36" s="1"/>
  <c r="F4" i="35"/>
  <c r="G4" i="35" s="1"/>
  <c r="F5" i="35"/>
  <c r="G5" i="35" s="1"/>
  <c r="F6" i="35"/>
  <c r="G6" i="35" s="1"/>
  <c r="F7" i="35"/>
  <c r="G7" i="35" s="1"/>
  <c r="F3" i="35"/>
  <c r="G3" i="35" s="1"/>
  <c r="G30" i="34"/>
  <c r="H30" i="34" s="1"/>
  <c r="G31" i="34"/>
  <c r="H31" i="34" s="1"/>
  <c r="G29" i="34"/>
  <c r="H29" i="34" s="1"/>
  <c r="H26" i="34"/>
  <c r="G4" i="34"/>
  <c r="H4" i="34" s="1"/>
  <c r="G5" i="34"/>
  <c r="H5" i="34" s="1"/>
  <c r="G6" i="34"/>
  <c r="H6" i="34" s="1"/>
  <c r="G7" i="34"/>
  <c r="H7" i="34" s="1"/>
  <c r="G8" i="34"/>
  <c r="H8" i="34" s="1"/>
  <c r="G9" i="34"/>
  <c r="H9" i="34" s="1"/>
  <c r="G10" i="34"/>
  <c r="H10" i="34" s="1"/>
  <c r="G11" i="34"/>
  <c r="H11" i="34" s="1"/>
  <c r="G12" i="34"/>
  <c r="H12" i="34" s="1"/>
  <c r="G13" i="34"/>
  <c r="H13" i="34" s="1"/>
  <c r="G14" i="34"/>
  <c r="H14" i="34" s="1"/>
  <c r="G15" i="34"/>
  <c r="H15" i="34" s="1"/>
  <c r="G16" i="34"/>
  <c r="H16" i="34" s="1"/>
  <c r="G17" i="34"/>
  <c r="H17" i="34" s="1"/>
  <c r="G18" i="34"/>
  <c r="H18" i="34" s="1"/>
  <c r="G19" i="34"/>
  <c r="H19" i="34" s="1"/>
  <c r="G20" i="34"/>
  <c r="H20" i="34" s="1"/>
  <c r="G21" i="34"/>
  <c r="H21" i="34" s="1"/>
  <c r="G22" i="34"/>
  <c r="H22" i="34" s="1"/>
  <c r="G24" i="34"/>
  <c r="H24" i="34" s="1"/>
  <c r="G25" i="34"/>
  <c r="H25" i="34" s="1"/>
  <c r="G26" i="34"/>
  <c r="F5" i="33"/>
  <c r="G5" i="33" s="1"/>
  <c r="F6" i="33"/>
  <c r="G6" i="33" s="1"/>
  <c r="F8" i="33"/>
  <c r="G8" i="33" s="1"/>
  <c r="F9" i="33"/>
  <c r="G9" i="33" s="1"/>
  <c r="F10" i="33"/>
  <c r="G10" i="33" s="1"/>
  <c r="F11" i="33"/>
  <c r="G11" i="33" s="1"/>
  <c r="F3" i="33"/>
  <c r="G3" i="33" s="1"/>
  <c r="F20" i="31"/>
  <c r="G20" i="31" s="1"/>
  <c r="F21" i="31"/>
  <c r="G21" i="31" s="1"/>
  <c r="F22" i="31"/>
  <c r="G22" i="31" s="1"/>
  <c r="F23" i="31"/>
  <c r="G23" i="31" s="1"/>
  <c r="F16" i="31"/>
  <c r="G16" i="31" s="1"/>
  <c r="G12" i="31"/>
  <c r="F4" i="31"/>
  <c r="G4" i="31" s="1"/>
  <c r="F5" i="31"/>
  <c r="G5" i="31" s="1"/>
  <c r="F6" i="31"/>
  <c r="G6" i="31" s="1"/>
  <c r="F7" i="31"/>
  <c r="G7" i="31" s="1"/>
  <c r="F8" i="31"/>
  <c r="G8" i="31" s="1"/>
  <c r="F9" i="31"/>
  <c r="G9" i="31" s="1"/>
  <c r="F10" i="31"/>
  <c r="G10" i="31" s="1"/>
  <c r="F11" i="31"/>
  <c r="G11" i="31" s="1"/>
  <c r="F12" i="31"/>
  <c r="F13" i="31"/>
  <c r="G13" i="31" s="1"/>
  <c r="F14" i="31"/>
  <c r="G14" i="31" s="1"/>
  <c r="F15" i="31"/>
  <c r="G15" i="31" s="1"/>
  <c r="F3" i="31"/>
  <c r="F6" i="30"/>
  <c r="G6" i="30" s="1"/>
  <c r="F8" i="30"/>
  <c r="G8" i="30" s="1"/>
  <c r="F9" i="30"/>
  <c r="G9" i="30" s="1"/>
  <c r="F10" i="30"/>
  <c r="G10" i="30" s="1"/>
  <c r="F12" i="30"/>
  <c r="G12" i="30" s="1"/>
  <c r="F13" i="30"/>
  <c r="G13" i="30" s="1"/>
  <c r="F4" i="30"/>
  <c r="G4" i="30" s="1"/>
  <c r="G3" i="29"/>
  <c r="G5" i="27"/>
  <c r="H5" i="27" s="1"/>
  <c r="G6" i="27"/>
  <c r="H6" i="27" s="1"/>
  <c r="H7" i="27"/>
  <c r="G8" i="27"/>
  <c r="H8" i="27" s="1"/>
  <c r="G9" i="27"/>
  <c r="H9" i="27" s="1"/>
  <c r="G10" i="27"/>
  <c r="H10" i="27" s="1"/>
  <c r="G4" i="27"/>
  <c r="H4" i="27" s="1"/>
  <c r="G32" i="28"/>
  <c r="F23" i="28"/>
  <c r="G23" i="28" s="1"/>
  <c r="F24" i="28"/>
  <c r="G24" i="28" s="1"/>
  <c r="F25" i="28"/>
  <c r="G25" i="28" s="1"/>
  <c r="F26" i="28"/>
  <c r="G26" i="28" s="1"/>
  <c r="F27" i="28"/>
  <c r="G27" i="28" s="1"/>
  <c r="F28" i="28"/>
  <c r="G28" i="28" s="1"/>
  <c r="F29" i="28"/>
  <c r="G29" i="28" s="1"/>
  <c r="F30" i="28"/>
  <c r="G30" i="28" s="1"/>
  <c r="F31" i="28"/>
  <c r="G31" i="28" s="1"/>
  <c r="F32" i="28"/>
  <c r="F33" i="28"/>
  <c r="G33" i="28" s="1"/>
  <c r="F22" i="28"/>
  <c r="G22" i="28" s="1"/>
  <c r="F6" i="28"/>
  <c r="G6" i="28" s="1"/>
  <c r="F7" i="28"/>
  <c r="G7" i="28" s="1"/>
  <c r="F8" i="28"/>
  <c r="G8" i="28" s="1"/>
  <c r="F9" i="28"/>
  <c r="G9" i="28" s="1"/>
  <c r="F10" i="28"/>
  <c r="G10" i="28" s="1"/>
  <c r="F11" i="28"/>
  <c r="G11" i="28" s="1"/>
  <c r="F12" i="28"/>
  <c r="G12" i="28" s="1"/>
  <c r="F14" i="28"/>
  <c r="G14" i="28" s="1"/>
  <c r="F15" i="28"/>
  <c r="G15" i="28" s="1"/>
  <c r="F16" i="28"/>
  <c r="G16" i="28" s="1"/>
  <c r="F17" i="28"/>
  <c r="G17" i="28" s="1"/>
  <c r="F18" i="28"/>
  <c r="G18" i="28" s="1"/>
  <c r="F19" i="28"/>
  <c r="G19" i="28" s="1"/>
  <c r="F4" i="28"/>
  <c r="G4" i="28" s="1"/>
  <c r="G6" i="25"/>
  <c r="G3" i="25"/>
  <c r="F4" i="25"/>
  <c r="G4" i="25" s="1"/>
  <c r="F5" i="25"/>
  <c r="G5" i="25" s="1"/>
  <c r="F6" i="25"/>
  <c r="F7" i="25"/>
  <c r="G7" i="25" s="1"/>
  <c r="F8" i="25"/>
  <c r="G8" i="25" s="1"/>
  <c r="F3" i="25"/>
  <c r="F4" i="26"/>
  <c r="G4" i="26" s="1"/>
  <c r="F5" i="26"/>
  <c r="G5" i="26" s="1"/>
  <c r="F6" i="26"/>
  <c r="G6" i="26" s="1"/>
  <c r="F7" i="26"/>
  <c r="G7" i="26" s="1"/>
  <c r="F8" i="26"/>
  <c r="G8" i="26" s="1"/>
  <c r="F3" i="26"/>
  <c r="G3" i="26" s="1"/>
  <c r="F5" i="69"/>
  <c r="G5" i="69" s="1"/>
  <c r="F6" i="69"/>
  <c r="G6" i="69" s="1"/>
  <c r="F7" i="69"/>
  <c r="G7" i="69" s="1"/>
  <c r="F8" i="69"/>
  <c r="G8" i="69" s="1"/>
  <c r="F9" i="69"/>
  <c r="G9" i="69" s="1"/>
  <c r="F4" i="69"/>
  <c r="G4" i="69" s="1"/>
  <c r="F5" i="24"/>
  <c r="G5" i="24" s="1"/>
  <c r="F6" i="24"/>
  <c r="G6" i="24" s="1"/>
  <c r="F7" i="24"/>
  <c r="G7" i="24" s="1"/>
  <c r="F8" i="24"/>
  <c r="G8" i="24" s="1"/>
  <c r="F9" i="24"/>
  <c r="G9" i="24" s="1"/>
  <c r="F10" i="24"/>
  <c r="G10" i="24" s="1"/>
  <c r="F11" i="24"/>
  <c r="G11" i="24" s="1"/>
  <c r="F12" i="24"/>
  <c r="G12" i="24" s="1"/>
  <c r="F13" i="24"/>
  <c r="G13" i="24" s="1"/>
  <c r="F14" i="24"/>
  <c r="G14" i="24" s="1"/>
  <c r="F15" i="24"/>
  <c r="G15" i="24" s="1"/>
  <c r="F4" i="24"/>
  <c r="G4" i="24" s="1"/>
  <c r="F16" i="22"/>
  <c r="G16" i="22" s="1"/>
  <c r="F17" i="22"/>
  <c r="G17" i="22" s="1"/>
  <c r="F19" i="22"/>
  <c r="F20" i="22"/>
  <c r="G20" i="22" s="1"/>
  <c r="F21" i="22"/>
  <c r="G21" i="22" s="1"/>
  <c r="F22" i="22"/>
  <c r="G22" i="22" s="1"/>
  <c r="F23" i="22"/>
  <c r="G23" i="22" s="1"/>
  <c r="F24" i="22"/>
  <c r="G24" i="22" s="1"/>
  <c r="F15" i="22"/>
  <c r="G15" i="22" s="1"/>
  <c r="F4" i="22"/>
  <c r="G4" i="22" s="1"/>
  <c r="F5" i="22"/>
  <c r="G5" i="22" s="1"/>
  <c r="F7" i="22"/>
  <c r="G7" i="22" s="1"/>
  <c r="G8" i="22"/>
  <c r="F9" i="22"/>
  <c r="G9" i="22" s="1"/>
  <c r="F10" i="22"/>
  <c r="G10" i="22" s="1"/>
  <c r="F3" i="22"/>
  <c r="G3" i="22" s="1"/>
  <c r="F10" i="23"/>
  <c r="F11" i="23"/>
  <c r="F12" i="23"/>
  <c r="F13" i="23"/>
  <c r="F8" i="23"/>
  <c r="G3" i="23"/>
  <c r="G4" i="21" l="1"/>
  <c r="H4" i="21" s="1"/>
  <c r="G5" i="21"/>
  <c r="H5" i="21" s="1"/>
  <c r="G6" i="21"/>
  <c r="H6" i="21" s="1"/>
  <c r="G7" i="21"/>
  <c r="H7" i="21" s="1"/>
  <c r="G8" i="21"/>
  <c r="H8" i="21" s="1"/>
  <c r="G9" i="21"/>
  <c r="H9" i="21" s="1"/>
  <c r="G10" i="21"/>
  <c r="H10" i="21" s="1"/>
  <c r="G11" i="21"/>
  <c r="H11" i="21" s="1"/>
  <c r="G12" i="21"/>
  <c r="H12" i="21" s="1"/>
  <c r="G13" i="21"/>
  <c r="H13" i="21" s="1"/>
  <c r="G14" i="21"/>
  <c r="H14" i="21" s="1"/>
  <c r="H15" i="21"/>
  <c r="H16" i="21"/>
  <c r="G17" i="21"/>
  <c r="H17" i="21" s="1"/>
  <c r="G18" i="21"/>
  <c r="H18" i="21" s="1"/>
  <c r="G19" i="21"/>
  <c r="H19" i="21" s="1"/>
  <c r="G21" i="21"/>
  <c r="H21" i="21" s="1"/>
  <c r="G22" i="21"/>
  <c r="H22" i="21" s="1"/>
  <c r="G23" i="21"/>
  <c r="H23" i="21" s="1"/>
  <c r="G24" i="21"/>
  <c r="H24" i="21" s="1"/>
  <c r="G25" i="21"/>
  <c r="H25" i="21" s="1"/>
  <c r="G26" i="21"/>
  <c r="H26" i="21" s="1"/>
  <c r="G27" i="21"/>
  <c r="H27" i="21" s="1"/>
  <c r="G28" i="21"/>
  <c r="H28" i="21" s="1"/>
  <c r="G29" i="21"/>
  <c r="H29" i="21" s="1"/>
  <c r="G30" i="21"/>
  <c r="H30" i="21" s="1"/>
  <c r="G3" i="21"/>
  <c r="H3" i="21" s="1"/>
  <c r="G5" i="17"/>
  <c r="H5" i="17" s="1"/>
  <c r="G6" i="17"/>
  <c r="H6" i="17" s="1"/>
  <c r="G7" i="17"/>
  <c r="H7" i="17" s="1"/>
  <c r="G8" i="17"/>
  <c r="H8" i="17" s="1"/>
  <c r="G9" i="17"/>
  <c r="H9" i="17" s="1"/>
  <c r="G11" i="17"/>
  <c r="H11" i="17" s="1"/>
  <c r="G13" i="17"/>
  <c r="H13" i="17" s="1"/>
  <c r="G14" i="17"/>
  <c r="H14" i="17" s="1"/>
  <c r="G16" i="17"/>
  <c r="H16" i="17" s="1"/>
  <c r="G17" i="17"/>
  <c r="H17" i="17" s="1"/>
  <c r="G18" i="17"/>
  <c r="H18" i="17" s="1"/>
  <c r="G19" i="17"/>
  <c r="H19" i="17" s="1"/>
  <c r="G20" i="17"/>
  <c r="H20" i="17" s="1"/>
  <c r="G21" i="17"/>
  <c r="H21" i="17" s="1"/>
  <c r="G22" i="17"/>
  <c r="H22" i="17" s="1"/>
  <c r="G23" i="17"/>
  <c r="H23" i="17" s="1"/>
  <c r="G25" i="17"/>
  <c r="H25" i="17" s="1"/>
  <c r="G26" i="17"/>
  <c r="H26" i="17" s="1"/>
  <c r="G27" i="17"/>
  <c r="H27" i="17" s="1"/>
  <c r="G29" i="17"/>
  <c r="H29" i="17" s="1"/>
  <c r="G32" i="17"/>
  <c r="H32" i="17" s="1"/>
  <c r="G4" i="17"/>
  <c r="H4" i="17" s="1"/>
  <c r="G25" i="16"/>
  <c r="H25" i="16" s="1"/>
  <c r="G26" i="16"/>
  <c r="H26" i="16" s="1"/>
  <c r="G27" i="16"/>
  <c r="H27" i="16" s="1"/>
  <c r="G28" i="16"/>
  <c r="H28" i="16" s="1"/>
  <c r="G29" i="16"/>
  <c r="H29" i="16" s="1"/>
  <c r="G31" i="16"/>
  <c r="H31" i="16" s="1"/>
  <c r="H5" i="16"/>
  <c r="G6" i="16"/>
  <c r="H6" i="16" s="1"/>
  <c r="G7" i="16"/>
  <c r="H7" i="16" s="1"/>
  <c r="G8" i="16"/>
  <c r="H8" i="16" s="1"/>
  <c r="G9" i="16"/>
  <c r="H9" i="16" s="1"/>
  <c r="G10" i="16"/>
  <c r="H10" i="16" s="1"/>
  <c r="G11" i="16"/>
  <c r="H11" i="16" s="1"/>
  <c r="G12" i="16"/>
  <c r="H12" i="16" s="1"/>
  <c r="G13" i="16"/>
  <c r="H13" i="16" s="1"/>
  <c r="G14" i="16"/>
  <c r="H14" i="16" s="1"/>
  <c r="G15" i="16"/>
  <c r="H15" i="16" s="1"/>
  <c r="G16" i="16"/>
  <c r="H16" i="16" s="1"/>
  <c r="G17" i="16"/>
  <c r="H17" i="16" s="1"/>
  <c r="G18" i="16"/>
  <c r="H18" i="16" s="1"/>
  <c r="G19" i="16"/>
  <c r="H19" i="16" s="1"/>
  <c r="G20" i="16"/>
  <c r="H20" i="16" s="1"/>
  <c r="G21" i="16"/>
  <c r="H21" i="16" s="1"/>
  <c r="H22" i="16"/>
  <c r="G4" i="16"/>
  <c r="H4" i="16" s="1"/>
  <c r="G21" i="19"/>
  <c r="H21" i="19" s="1"/>
  <c r="G22" i="19"/>
  <c r="H22" i="19" s="1"/>
  <c r="G23" i="19"/>
  <c r="H23" i="19" s="1"/>
  <c r="G24" i="19"/>
  <c r="H24" i="19" s="1"/>
  <c r="G25" i="19"/>
  <c r="H25" i="19" s="1"/>
  <c r="G26" i="19"/>
  <c r="H26" i="19" s="1"/>
  <c r="H20" i="19"/>
  <c r="G4" i="19"/>
  <c r="H4" i="19" s="1"/>
  <c r="G5" i="19"/>
  <c r="H5" i="19" s="1"/>
  <c r="G6" i="19"/>
  <c r="H6" i="19" s="1"/>
  <c r="G7" i="19"/>
  <c r="H7" i="19" s="1"/>
  <c r="G8" i="19"/>
  <c r="H8" i="19" s="1"/>
  <c r="G10" i="19"/>
  <c r="H10" i="19" s="1"/>
  <c r="G11" i="19"/>
  <c r="H11" i="19" s="1"/>
  <c r="G12" i="19"/>
  <c r="H12" i="19" s="1"/>
  <c r="G13" i="19"/>
  <c r="H13" i="19" s="1"/>
  <c r="G15" i="19"/>
  <c r="H15" i="19" s="1"/>
  <c r="G16" i="19"/>
  <c r="H16" i="19" s="1"/>
  <c r="G3" i="19"/>
  <c r="H3" i="19" s="1"/>
  <c r="G4" i="15"/>
  <c r="H4" i="15" s="1"/>
  <c r="G5" i="15"/>
  <c r="H5" i="15" s="1"/>
  <c r="G6" i="15"/>
  <c r="H6" i="15" s="1"/>
  <c r="G7" i="15"/>
  <c r="H7" i="15" s="1"/>
  <c r="G8" i="15"/>
  <c r="H8" i="15" s="1"/>
  <c r="G9" i="15"/>
  <c r="H9" i="15" s="1"/>
  <c r="G10" i="15"/>
  <c r="H10" i="15" s="1"/>
  <c r="G11" i="15"/>
  <c r="H11" i="15" s="1"/>
  <c r="G12" i="15"/>
  <c r="H12" i="15" s="1"/>
  <c r="G13" i="15"/>
  <c r="H13" i="15" s="1"/>
  <c r="G14" i="15"/>
  <c r="H14" i="15" s="1"/>
  <c r="G15" i="15"/>
  <c r="H15" i="15" s="1"/>
  <c r="G16" i="15"/>
  <c r="H16" i="15" s="1"/>
  <c r="G17" i="15"/>
  <c r="H17" i="15" s="1"/>
  <c r="G20" i="15"/>
  <c r="H20" i="15" s="1"/>
  <c r="G22" i="15"/>
  <c r="H22" i="15" s="1"/>
  <c r="G23" i="15"/>
  <c r="H23" i="15" s="1"/>
  <c r="G29" i="15"/>
  <c r="H29" i="15" s="1"/>
  <c r="G30" i="15"/>
  <c r="H30" i="15" s="1"/>
  <c r="G3" i="15"/>
  <c r="H3" i="15" s="1"/>
  <c r="F5" i="14"/>
  <c r="G5" i="14" s="1"/>
  <c r="F6" i="14"/>
  <c r="G6" i="14" s="1"/>
  <c r="F7" i="14"/>
  <c r="G7" i="14" s="1"/>
  <c r="F8" i="14"/>
  <c r="G8" i="14" s="1"/>
  <c r="F9" i="14"/>
  <c r="G9" i="14" s="1"/>
  <c r="F4" i="14"/>
  <c r="G4" i="14" s="1"/>
  <c r="G14" i="14"/>
  <c r="G15" i="14"/>
  <c r="G16" i="14"/>
  <c r="G17" i="14"/>
  <c r="G18" i="14"/>
  <c r="G19" i="14"/>
  <c r="F13" i="14"/>
  <c r="G13" i="14" s="1"/>
  <c r="G8" i="13" l="1"/>
  <c r="G13" i="13"/>
  <c r="G14" i="13"/>
  <c r="G15" i="13"/>
  <c r="G16" i="13"/>
  <c r="G17" i="13"/>
  <c r="G18" i="13"/>
  <c r="G21" i="13"/>
  <c r="G23" i="13"/>
  <c r="G25" i="13"/>
  <c r="G26" i="13"/>
  <c r="G27" i="13"/>
  <c r="G29" i="13"/>
  <c r="G30" i="13"/>
  <c r="G31" i="13"/>
  <c r="G32" i="13"/>
  <c r="G33" i="13"/>
  <c r="G35" i="13"/>
  <c r="G36" i="13"/>
  <c r="G37" i="13"/>
  <c r="G38" i="13"/>
  <c r="G4" i="12"/>
  <c r="H4" i="12" s="1"/>
  <c r="G5" i="11"/>
  <c r="H5" i="11" s="1"/>
  <c r="G6" i="11"/>
  <c r="H6" i="11" s="1"/>
  <c r="G7" i="11"/>
  <c r="H7" i="11" s="1"/>
  <c r="G8" i="11"/>
  <c r="H8" i="11" s="1"/>
  <c r="G9" i="11"/>
  <c r="H9" i="11" s="1"/>
  <c r="G10" i="11"/>
  <c r="H10" i="11" s="1"/>
  <c r="G12" i="11"/>
  <c r="H12" i="11" s="1"/>
  <c r="G13" i="11"/>
  <c r="H13" i="11" s="1"/>
  <c r="G14" i="11"/>
  <c r="H14" i="11" s="1"/>
  <c r="G15" i="11"/>
  <c r="H15" i="11" s="1"/>
  <c r="G16" i="11"/>
  <c r="H16" i="11" s="1"/>
  <c r="G17" i="11"/>
  <c r="H17" i="11" s="1"/>
  <c r="G18" i="11"/>
  <c r="H18" i="11" s="1"/>
  <c r="G19" i="11"/>
  <c r="H19" i="11" s="1"/>
  <c r="G20" i="11"/>
  <c r="H20" i="11" s="1"/>
  <c r="G21" i="11"/>
  <c r="H21" i="11" s="1"/>
  <c r="G22" i="11"/>
  <c r="H22" i="11" s="1"/>
  <c r="H24" i="11"/>
  <c r="G25" i="11"/>
  <c r="H25" i="11" s="1"/>
  <c r="H4" i="11"/>
  <c r="H5" i="9" l="1"/>
  <c r="I5" i="9" s="1"/>
  <c r="H6" i="9"/>
  <c r="I6" i="9" s="1"/>
  <c r="H7" i="9"/>
  <c r="I7" i="9" s="1"/>
  <c r="H8" i="9"/>
  <c r="I8" i="9" s="1"/>
  <c r="H9" i="9"/>
  <c r="I9" i="9" s="1"/>
  <c r="H10" i="9"/>
  <c r="I10" i="9" s="1"/>
  <c r="H11" i="9"/>
  <c r="I11" i="9" s="1"/>
  <c r="H12" i="9"/>
  <c r="I12" i="9" s="1"/>
  <c r="H13" i="9"/>
  <c r="I13" i="9" s="1"/>
  <c r="H14" i="9"/>
  <c r="I14" i="9" s="1"/>
  <c r="H15" i="9"/>
  <c r="I15" i="9" s="1"/>
  <c r="H16" i="9"/>
  <c r="I16" i="9" s="1"/>
  <c r="H17" i="9"/>
  <c r="I17" i="9" s="1"/>
  <c r="H18" i="9"/>
  <c r="I18" i="9" s="1"/>
  <c r="H21" i="9"/>
  <c r="I21" i="9" s="1"/>
  <c r="H22" i="9"/>
  <c r="I22" i="9" s="1"/>
  <c r="H23" i="9"/>
  <c r="I23" i="9" s="1"/>
  <c r="H25" i="9"/>
  <c r="I25" i="9" s="1"/>
  <c r="H28" i="9"/>
  <c r="I28" i="9" s="1"/>
  <c r="I29" i="9"/>
  <c r="H30" i="9"/>
  <c r="I30" i="9" s="1"/>
  <c r="H4" i="9"/>
  <c r="I4" i="9" s="1"/>
  <c r="G5" i="7"/>
  <c r="H5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H13" i="7"/>
  <c r="G14" i="7"/>
  <c r="H14" i="7" s="1"/>
  <c r="G15" i="7"/>
  <c r="H15" i="7" s="1"/>
  <c r="H16" i="7"/>
  <c r="G17" i="7"/>
  <c r="H17" i="7" s="1"/>
  <c r="H18" i="7"/>
  <c r="G19" i="7"/>
  <c r="H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7" i="7"/>
  <c r="H27" i="7" s="1"/>
  <c r="G28" i="7"/>
  <c r="H28" i="7" s="1"/>
  <c r="G29" i="7"/>
  <c r="H29" i="7" s="1"/>
  <c r="G30" i="7"/>
  <c r="H30" i="7" s="1"/>
  <c r="G31" i="7"/>
  <c r="H31" i="7" s="1"/>
  <c r="G36" i="7"/>
  <c r="H36" i="7" s="1"/>
  <c r="G37" i="7"/>
  <c r="H37" i="7" s="1"/>
  <c r="G39" i="7"/>
  <c r="H39" i="7" s="1"/>
  <c r="G40" i="7"/>
  <c r="H40" i="7" s="1"/>
  <c r="G41" i="7"/>
  <c r="H41" i="7" s="1"/>
  <c r="G42" i="7"/>
  <c r="H42" i="7" s="1"/>
  <c r="G43" i="7"/>
  <c r="H43" i="7" s="1"/>
  <c r="G4" i="7"/>
  <c r="H4" i="7" s="1"/>
</calcChain>
</file>

<file path=xl/sharedStrings.xml><?xml version="1.0" encoding="utf-8"?>
<sst xmlns="http://schemas.openxmlformats.org/spreadsheetml/2006/main" count="1968" uniqueCount="1087">
  <si>
    <t xml:space="preserve">Company </t>
  </si>
  <si>
    <t xml:space="preserve"> </t>
  </si>
  <si>
    <t xml:space="preserve">Acc Cable </t>
  </si>
  <si>
    <t>Bikes names</t>
  </si>
  <si>
    <t>BAJAJ</t>
  </si>
  <si>
    <t>Pulsar 220</t>
  </si>
  <si>
    <t>NS-200</t>
  </si>
  <si>
    <t>Discover 100</t>
  </si>
  <si>
    <t>Avenger</t>
  </si>
  <si>
    <t>Pul 180/Disc135/Pul OM</t>
  </si>
  <si>
    <t>HONDA</t>
  </si>
  <si>
    <t>Unicorn/XTRM</t>
  </si>
  <si>
    <t>Shine</t>
  </si>
  <si>
    <t>Hornet</t>
  </si>
  <si>
    <t>Triger</t>
  </si>
  <si>
    <t>Dio O/M</t>
  </si>
  <si>
    <t>Dio N/M</t>
  </si>
  <si>
    <t>FZ</t>
  </si>
  <si>
    <t>FZ250</t>
  </si>
  <si>
    <t>Wholesale Price</t>
  </si>
  <si>
    <t xml:space="preserve">Retail Price </t>
  </si>
  <si>
    <t xml:space="preserve">Yamaha </t>
  </si>
  <si>
    <t>TVS</t>
  </si>
  <si>
    <t>RTR (single)</t>
  </si>
  <si>
    <t>RTR (Double)</t>
  </si>
  <si>
    <t>RTR 200</t>
  </si>
  <si>
    <t>NTQR</t>
  </si>
  <si>
    <t>Pul 150 (ASK)</t>
  </si>
  <si>
    <t>Gladiator/Enticer</t>
  </si>
  <si>
    <t>Libra/Alba</t>
  </si>
  <si>
    <t>R15</t>
  </si>
  <si>
    <t>R15 V2 (A+B)</t>
  </si>
  <si>
    <t>R15 V3</t>
  </si>
  <si>
    <t>Splender (Hero Honda)</t>
  </si>
  <si>
    <t>X-pluse</t>
  </si>
  <si>
    <t xml:space="preserve">Super Splender </t>
  </si>
  <si>
    <t>XR 150</t>
  </si>
  <si>
    <t>Royal Enfield</t>
  </si>
  <si>
    <t>Suzuki</t>
  </si>
  <si>
    <t>Gixxer</t>
  </si>
  <si>
    <t xml:space="preserve">Hero </t>
  </si>
  <si>
    <t>Air Filter</t>
  </si>
  <si>
    <t>NS-200 FI/ NS-160</t>
  </si>
  <si>
    <t>NS-200 (Non-FI)</t>
  </si>
  <si>
    <t>Unicorn NM/ Hornet 160</t>
  </si>
  <si>
    <t>Unicorn OM</t>
  </si>
  <si>
    <t>XR 190</t>
  </si>
  <si>
    <t>Ray OM</t>
  </si>
  <si>
    <t>Dio NM</t>
  </si>
  <si>
    <t>Dio OM</t>
  </si>
  <si>
    <t>Ray NM</t>
  </si>
  <si>
    <t>RTR 160 4V</t>
  </si>
  <si>
    <t>RTR 200 4V</t>
  </si>
  <si>
    <t xml:space="preserve">Pleasure </t>
  </si>
  <si>
    <t>Soluto</t>
  </si>
  <si>
    <t>Yamaha</t>
  </si>
  <si>
    <t>Bullet</t>
  </si>
  <si>
    <t xml:space="preserve">Aprilla </t>
  </si>
  <si>
    <t xml:space="preserve"> Bearing Size</t>
  </si>
  <si>
    <t>H/F</t>
  </si>
  <si>
    <t>Wholesale Price/PCS</t>
  </si>
  <si>
    <t xml:space="preserve">WholesaleBox Price </t>
  </si>
  <si>
    <t>Retail Price/PCS</t>
  </si>
  <si>
    <t>Pollysu</t>
  </si>
  <si>
    <t>Mgf</t>
  </si>
  <si>
    <t>Bike Names</t>
  </si>
  <si>
    <t xml:space="preserve">Pulsar </t>
  </si>
  <si>
    <t>Sup-Spl/Uni/SHN/Dio/Passion/Aviator</t>
  </si>
  <si>
    <t>Splender (Front)</t>
  </si>
  <si>
    <t>KB4S/CT-100/Caliber</t>
  </si>
  <si>
    <t>RX-100</t>
  </si>
  <si>
    <t>Hero Honda/Spl/XR-190/XR-150 (Rear)</t>
  </si>
  <si>
    <t>ABS</t>
  </si>
  <si>
    <t xml:space="preserve">Ray </t>
  </si>
  <si>
    <t>RX</t>
  </si>
  <si>
    <t>HH/XR-190/XR-150</t>
  </si>
  <si>
    <t>Shine/Sup-Spl/Uni</t>
  </si>
  <si>
    <t xml:space="preserve">Pulsar/220/ NS-200 (Rear) </t>
  </si>
  <si>
    <t>Pulsar NM/220-NM/Twin-Disk (Rear)</t>
  </si>
  <si>
    <t>Bikes Names</t>
  </si>
  <si>
    <t>Retail Price</t>
  </si>
  <si>
    <t>Discover/Pulsar OM</t>
  </si>
  <si>
    <t>Spl/Sup-spl/SHN/Twister</t>
  </si>
  <si>
    <t>Dio (ASK)</t>
  </si>
  <si>
    <t>Deuro</t>
  </si>
  <si>
    <t>YAMAHA</t>
  </si>
  <si>
    <t>Ray (Rear)</t>
  </si>
  <si>
    <t>NTRQ (Rear)</t>
  </si>
  <si>
    <t>Bike Name</t>
  </si>
  <si>
    <t>Wholesales Price</t>
  </si>
  <si>
    <t>FZ/RX</t>
  </si>
  <si>
    <t>Ray/Ray ZR/Ray Z</t>
  </si>
  <si>
    <t>HH/Spl</t>
  </si>
  <si>
    <t>Grazzia</t>
  </si>
  <si>
    <t>Pulsar (O.Disk)</t>
  </si>
  <si>
    <t>Soluto/SZR/Ray Z/FZ OM(Rear)</t>
  </si>
  <si>
    <t>FZ250/FZV2/V3 (Rear)</t>
  </si>
  <si>
    <t>CBZ/RTR-series/X-pluse/Impluse (Front)</t>
  </si>
  <si>
    <t>XR/XL</t>
  </si>
  <si>
    <t>GN</t>
  </si>
  <si>
    <t>Vespa</t>
  </si>
  <si>
    <t>R15 (Front)</t>
  </si>
  <si>
    <t>Beneli</t>
  </si>
  <si>
    <t>Brake Shoe</t>
  </si>
  <si>
    <t>Brake Pad</t>
  </si>
  <si>
    <t>Brake Cable</t>
  </si>
  <si>
    <t>ASK</t>
  </si>
  <si>
    <t>Brake Yoke</t>
  </si>
  <si>
    <t>Pulsar 150/180</t>
  </si>
  <si>
    <t xml:space="preserve">Unicorn </t>
  </si>
  <si>
    <t>YBX/YBR</t>
  </si>
  <si>
    <t>Splender</t>
  </si>
  <si>
    <t xml:space="preserve">Brake Paddle </t>
  </si>
  <si>
    <t>Brake Rod</t>
  </si>
  <si>
    <t>Pulsar</t>
  </si>
  <si>
    <t xml:space="preserve">Splender </t>
  </si>
  <si>
    <t xml:space="preserve">Shine </t>
  </si>
  <si>
    <t>XTM</t>
  </si>
  <si>
    <t>RTR</t>
  </si>
  <si>
    <t>Clutch Plate</t>
  </si>
  <si>
    <t>UG3/FZ</t>
  </si>
  <si>
    <t>UG4</t>
  </si>
  <si>
    <t>KB4S/CT-100</t>
  </si>
  <si>
    <t xml:space="preserve">CBZ/HH Ambition </t>
  </si>
  <si>
    <t>RX-100/Gladiator/Enticer</t>
  </si>
  <si>
    <t>Endurance</t>
  </si>
  <si>
    <t xml:space="preserve">UG4 </t>
  </si>
  <si>
    <t>F.C.C.</t>
  </si>
  <si>
    <t xml:space="preserve">Honda </t>
  </si>
  <si>
    <t>Bullet 350+ Pressure Plate</t>
  </si>
  <si>
    <t xml:space="preserve">Bike Names </t>
  </si>
  <si>
    <t>Came Chain</t>
  </si>
  <si>
    <t>Pulsar 220/Avenger  (100-2 Link)</t>
  </si>
  <si>
    <t>Pulsar 150 (98 Link)</t>
  </si>
  <si>
    <t>Discover (94 Link)</t>
  </si>
  <si>
    <t>CBZ XTM/Hunk/Uni/Impluse</t>
  </si>
  <si>
    <t>Splender/Spl-Plus/Passion-Pro (84 Link)</t>
  </si>
  <si>
    <t>FZ/GSR 150/FZS/Fazar 150/Gladiator/SZR/SZ</t>
  </si>
  <si>
    <t>Super-Splender</t>
  </si>
  <si>
    <t>Dio OM/Pleasure/Activa (86-2 Link)</t>
  </si>
  <si>
    <t>Dio NM/Pleasure/Activa (90-2 Link)</t>
  </si>
  <si>
    <t>Shine (94-2 Link)</t>
  </si>
  <si>
    <t>Apachi RTR 160/180 OM (94-2 Link)</t>
  </si>
  <si>
    <t>YBX/Enitcer</t>
  </si>
  <si>
    <t xml:space="preserve">Hornet </t>
  </si>
  <si>
    <t>Karizma (104 Link)</t>
  </si>
  <si>
    <t>Came Chain Exchauster</t>
  </si>
  <si>
    <t>Pulsar series (Bajaj Packing)</t>
  </si>
  <si>
    <t>Mebesto</t>
  </si>
  <si>
    <t>Company</t>
  </si>
  <si>
    <t xml:space="preserve">Cone Bearing  </t>
  </si>
  <si>
    <t>Pulsar 150</t>
  </si>
  <si>
    <t>Pulsar 220/Avenger</t>
  </si>
  <si>
    <t>Unicorn/Sup-Spl</t>
  </si>
  <si>
    <t>FZ/FZS/SZR/Eniter/YBX</t>
  </si>
  <si>
    <t>Pleasure/Dio OM</t>
  </si>
  <si>
    <t>Discover</t>
  </si>
  <si>
    <t>Pulsar220</t>
  </si>
  <si>
    <t>Pulsar150</t>
  </si>
  <si>
    <t>Hero Honda</t>
  </si>
  <si>
    <t>Others</t>
  </si>
  <si>
    <r>
      <rPr>
        <b/>
        <sz val="18"/>
        <color theme="1"/>
        <rFont val="Calibri"/>
        <family val="2"/>
        <scheme val="minor"/>
      </rPr>
      <t>Company</t>
    </r>
    <r>
      <rPr>
        <b/>
        <sz val="11"/>
        <color theme="1"/>
        <rFont val="Calibri"/>
        <family val="2"/>
        <scheme val="minor"/>
      </rPr>
      <t xml:space="preserve"> </t>
    </r>
  </si>
  <si>
    <t>Carburator</t>
  </si>
  <si>
    <t>Pulsar 150/FZ (U-Cal)</t>
  </si>
  <si>
    <t>Pulsar 220 (U-Cal)</t>
  </si>
  <si>
    <t>Pulsar 150 (MLKUNL)</t>
  </si>
  <si>
    <t>Splender (MLKUNL)</t>
  </si>
  <si>
    <t>Ray(MLKUNL)</t>
  </si>
  <si>
    <t xml:space="preserve">Enticer(MLKUNL </t>
  </si>
  <si>
    <t xml:space="preserve">Clutch Shoe   </t>
  </si>
  <si>
    <t xml:space="preserve">Duro </t>
  </si>
  <si>
    <t>TVS/Pep</t>
  </si>
  <si>
    <t>Ray/Fashino</t>
  </si>
  <si>
    <t>Dio HET (Honda Activa)</t>
  </si>
  <si>
    <t>Dio-G.1</t>
  </si>
  <si>
    <t>Dio-G.2</t>
  </si>
  <si>
    <t>NTRQ</t>
  </si>
  <si>
    <t xml:space="preserve">Chain Exchauster </t>
  </si>
  <si>
    <t>Splender /HH</t>
  </si>
  <si>
    <t>Unicorn</t>
  </si>
  <si>
    <t>Gladiator</t>
  </si>
  <si>
    <t>Discover 125/135</t>
  </si>
  <si>
    <t>FZ250/R15V3</t>
  </si>
  <si>
    <t>RTR 160/180</t>
  </si>
  <si>
    <t>Plusar 150 (ASK)</t>
  </si>
  <si>
    <t xml:space="preserve">Bullet </t>
  </si>
  <si>
    <t xml:space="preserve">Choke Cable </t>
  </si>
  <si>
    <t>Platina</t>
  </si>
  <si>
    <t>Gladiator/Entincer</t>
  </si>
  <si>
    <t>CBZ XTM/Uni</t>
  </si>
  <si>
    <t>Clutch Yoke</t>
  </si>
  <si>
    <t>UG3 (Pul150/180/220)</t>
  </si>
  <si>
    <t>Combo (Scooter)</t>
  </si>
  <si>
    <t>Ray Series</t>
  </si>
  <si>
    <t>Unicorn/CBZ XTM</t>
  </si>
  <si>
    <t>UG4 (Pul150/180/220)</t>
  </si>
  <si>
    <t>FZ/RX/Fashino</t>
  </si>
  <si>
    <t xml:space="preserve">Clutch Switch </t>
  </si>
  <si>
    <t>C.D.I</t>
  </si>
  <si>
    <t>UG4 (DJ-64)</t>
  </si>
  <si>
    <t>Pul (DJ-98)</t>
  </si>
  <si>
    <t>Pul (DH-04)</t>
  </si>
  <si>
    <t xml:space="preserve">Drumpper Rubber </t>
  </si>
  <si>
    <t>FZ/RX/Alba</t>
  </si>
  <si>
    <t>KB4s/Caliber/100cc</t>
  </si>
  <si>
    <t>Sup-Splender</t>
  </si>
  <si>
    <t>Unicorn/XTM</t>
  </si>
  <si>
    <t>FZ 250</t>
  </si>
  <si>
    <t>Avenger/NS 200</t>
  </si>
  <si>
    <t>Pulsar 150/180/220</t>
  </si>
  <si>
    <t>Bullet 350</t>
  </si>
  <si>
    <t>Daya Form</t>
  </si>
  <si>
    <t>Unicorn/Shine</t>
  </si>
  <si>
    <t>Disc Plate</t>
  </si>
  <si>
    <t>Pulsar 150 (Front)</t>
  </si>
  <si>
    <t>Pulsar 220 (Front)</t>
  </si>
  <si>
    <t>Pulsar 220 (Rear)</t>
  </si>
  <si>
    <t>NS-200 (Front)</t>
  </si>
  <si>
    <t>NS-200 (Rear)</t>
  </si>
  <si>
    <t>Disc Cabiler</t>
  </si>
  <si>
    <t>Pulsar 150/180/220 (Front)</t>
  </si>
  <si>
    <t xml:space="preserve">Pulsar 220 </t>
  </si>
  <si>
    <t xml:space="preserve">Dipper Switch </t>
  </si>
  <si>
    <t>Front Footrest</t>
  </si>
  <si>
    <t>Wholesale Price/Set</t>
  </si>
  <si>
    <t>Retail Price/Set</t>
  </si>
  <si>
    <t>CBZ</t>
  </si>
  <si>
    <t>Rear Footrest</t>
  </si>
  <si>
    <t>Pulsar 220/Duke</t>
  </si>
  <si>
    <t xml:space="preserve">Front Spocket </t>
  </si>
  <si>
    <t>Discover 100/125/135</t>
  </si>
  <si>
    <t>Unicorn/XR</t>
  </si>
  <si>
    <t>SZR</t>
  </si>
  <si>
    <t>Splender (I-smart)</t>
  </si>
  <si>
    <t>RTR 160</t>
  </si>
  <si>
    <t>X-pluse/Karizma/CBZ Star</t>
  </si>
  <si>
    <t>Fine Belt</t>
  </si>
  <si>
    <t>Scooter Names</t>
  </si>
  <si>
    <t>Pep</t>
  </si>
  <si>
    <t xml:space="preserve">Gear Lever </t>
  </si>
  <si>
    <t xml:space="preserve">Pulsar 150 </t>
  </si>
  <si>
    <t>RTR OM</t>
  </si>
  <si>
    <t>Splender (Mebesto)</t>
  </si>
  <si>
    <t>Gear Sharf</t>
  </si>
  <si>
    <t>Pulsar 150 (Palto)</t>
  </si>
  <si>
    <t xml:space="preserve">Hero Honda </t>
  </si>
  <si>
    <t xml:space="preserve">Head Show </t>
  </si>
  <si>
    <t>Head Light Assemble</t>
  </si>
  <si>
    <t>Pulsar 150/180/200</t>
  </si>
  <si>
    <t xml:space="preserve">Shime </t>
  </si>
  <si>
    <t>Shime T.2</t>
  </si>
  <si>
    <t>CBZ XTM</t>
  </si>
  <si>
    <t>T.2 150 (Wister)</t>
  </si>
  <si>
    <t>Pulsar 150/180/200 (Jainsons)</t>
  </si>
  <si>
    <t>Pulsar 150/180/200 (Lumux)</t>
  </si>
  <si>
    <t>Pulsar 150 (Golo-Jainsons)</t>
  </si>
  <si>
    <t>UG3 (Minda)</t>
  </si>
  <si>
    <t>RX-100 (Jainsons)</t>
  </si>
  <si>
    <t xml:space="preserve">Splender Plus </t>
  </si>
  <si>
    <t xml:space="preserve">Half Axel </t>
  </si>
  <si>
    <t>YBX</t>
  </si>
  <si>
    <t xml:space="preserve">Ignation Switch </t>
  </si>
  <si>
    <t>1278Z (Shine/Unicorn)</t>
  </si>
  <si>
    <t>1248Z (Pulsar 220)</t>
  </si>
  <si>
    <t>1101Z (Splender)</t>
  </si>
  <si>
    <t>1154BZ (RTR)</t>
  </si>
  <si>
    <t>1248HZ (NS-200)</t>
  </si>
  <si>
    <t>11015Z (XTM/Impluse)</t>
  </si>
  <si>
    <t>1238AZ (FZ)</t>
  </si>
  <si>
    <t>1247BZ (R15)</t>
  </si>
  <si>
    <t>1226BZ (Pulsar 150-"2pin")</t>
  </si>
  <si>
    <t>1226Z (Pulsar 150-"4pin")</t>
  </si>
  <si>
    <t>1226BZ (XCD)</t>
  </si>
  <si>
    <t>1101DZ (Super-Splender)</t>
  </si>
  <si>
    <t>2178BZ (Avenger 220-"4pin")</t>
  </si>
  <si>
    <t>0139Z (Avenger 220-"4pin")</t>
  </si>
  <si>
    <t>1232NZ (Aviator)</t>
  </si>
  <si>
    <t>2247EZ (Pleasure)</t>
  </si>
  <si>
    <t>7298A (FZ)</t>
  </si>
  <si>
    <t>7808 (Unicorn)</t>
  </si>
  <si>
    <t>Ignation Switch Set</t>
  </si>
  <si>
    <t>Minda</t>
  </si>
  <si>
    <t>ARF</t>
  </si>
  <si>
    <t>FC-r987 (E) (Pulsar)</t>
  </si>
  <si>
    <t>KT-2233Z (FZ)</t>
  </si>
  <si>
    <t>2166KZ  (E) (Dio-N/M)</t>
  </si>
  <si>
    <t>2166CZ (E) (Dio-O/M)</t>
  </si>
  <si>
    <t>1126EZ (CRUX)</t>
  </si>
  <si>
    <t>Kick Lever</t>
  </si>
  <si>
    <t>Splender/Passion</t>
  </si>
  <si>
    <t xml:space="preserve">Lever Set </t>
  </si>
  <si>
    <t>Dio-Combo (per pcs)</t>
  </si>
  <si>
    <t>Discover/Platina</t>
  </si>
  <si>
    <t xml:space="preserve">Mirror </t>
  </si>
  <si>
    <t>Wholesale Price/Pcs</t>
  </si>
  <si>
    <t>Retail Price/Pcs</t>
  </si>
  <si>
    <t xml:space="preserve">Avenger </t>
  </si>
  <si>
    <t>Ray</t>
  </si>
  <si>
    <t>Varroc</t>
  </si>
  <si>
    <t>Perfect</t>
  </si>
  <si>
    <t xml:space="preserve">Jainson </t>
  </si>
  <si>
    <t xml:space="preserve">Front Master Cylinder </t>
  </si>
  <si>
    <t>Pulsar/Gixxer/FZ/Avenger</t>
  </si>
  <si>
    <t>Unicorn/Shine/XTM/Enticer</t>
  </si>
  <si>
    <t xml:space="preserve">Rear Master Cylinder </t>
  </si>
  <si>
    <t xml:space="preserve">Pulsar 220(Endurance) </t>
  </si>
  <si>
    <t>Pulsar 220(Bajaj)</t>
  </si>
  <si>
    <t>Male-Female</t>
  </si>
  <si>
    <t>UG3-220</t>
  </si>
  <si>
    <t>UG4-150</t>
  </si>
  <si>
    <t>UG4-220</t>
  </si>
  <si>
    <t>Discover 150</t>
  </si>
  <si>
    <t>UG6</t>
  </si>
  <si>
    <t>YBX/Libero/RX-100</t>
  </si>
  <si>
    <t>Paltina/CD-100/KB4S</t>
  </si>
  <si>
    <t>NS-200 (F.C.C)</t>
  </si>
  <si>
    <t>Male-Female Assemble</t>
  </si>
  <si>
    <t>Pulsar 220 (F.C.C.)</t>
  </si>
  <si>
    <t>UG4-Pulsar 150 (F.C.C.)</t>
  </si>
  <si>
    <t>NS-200 (F.C.C.)</t>
  </si>
  <si>
    <t>Mobil</t>
  </si>
  <si>
    <t>Company Names</t>
  </si>
  <si>
    <t>Wholesale Price/Case</t>
  </si>
  <si>
    <t>Servo (Cing-1000 ml)</t>
  </si>
  <si>
    <t>Servo (BS6-1200 ml)</t>
  </si>
  <si>
    <t>Castrol (GTX)</t>
  </si>
  <si>
    <t>Castrol (Activo)</t>
  </si>
  <si>
    <t>FZ250/MT/R15</t>
  </si>
  <si>
    <t>Mobil Filter</t>
  </si>
  <si>
    <t>One Way Bearing Set</t>
  </si>
  <si>
    <t>Pulsar (Small)</t>
  </si>
  <si>
    <t>Splender Pro</t>
  </si>
  <si>
    <t>Passion Pro</t>
  </si>
  <si>
    <t>Oil Seal</t>
  </si>
  <si>
    <t>Pulsar 150/Unicorn (Bajaj)</t>
  </si>
  <si>
    <t xml:space="preserve">YBX/Enitcer </t>
  </si>
  <si>
    <t>Wholesale Price/Box</t>
  </si>
  <si>
    <t>Splender (BS6)</t>
  </si>
  <si>
    <t>Pulsar (Champion)</t>
  </si>
  <si>
    <t>Pulsar/Unicorn/Shine/FZ/Dio (BS6)</t>
  </si>
  <si>
    <t>Plug</t>
  </si>
  <si>
    <t>Plug Cap</t>
  </si>
  <si>
    <t>Pulsar (Without LocK)</t>
  </si>
  <si>
    <t>Pulsar (With LocK)</t>
  </si>
  <si>
    <t>Unicorn (Without Lock)</t>
  </si>
  <si>
    <t>Unicorn (With Lock)</t>
  </si>
  <si>
    <t>Splender/Shine (With Lock)</t>
  </si>
  <si>
    <t>Splender/Shine (Without Lock)</t>
  </si>
  <si>
    <t>YBZ</t>
  </si>
  <si>
    <t>Fashino</t>
  </si>
  <si>
    <t>Petrol Tap</t>
  </si>
  <si>
    <t>Rektifire</t>
  </si>
  <si>
    <t>Pulsar (DK 39)</t>
  </si>
  <si>
    <t>Pulsar (DK 01)</t>
  </si>
  <si>
    <t>Puslar (DJ 02)</t>
  </si>
  <si>
    <t>UG3 (DJ 64)</t>
  </si>
  <si>
    <t>UG4 (DJ 02C)</t>
  </si>
  <si>
    <t xml:space="preserve">Rocker </t>
  </si>
  <si>
    <t xml:space="preserve">RTR </t>
  </si>
  <si>
    <t>Rear Axel</t>
  </si>
  <si>
    <t xml:space="preserve">Self Carbon </t>
  </si>
  <si>
    <t>Pulsar 150 (Varroc)</t>
  </si>
  <si>
    <t xml:space="preserve">Dio </t>
  </si>
  <si>
    <t>Retail Price /PCS</t>
  </si>
  <si>
    <t>Pulsar 150/180/200/220</t>
  </si>
  <si>
    <t>Wholesale Price/SET</t>
  </si>
  <si>
    <t>Retail Price /SET</t>
  </si>
  <si>
    <t xml:space="preserve">Side Stand </t>
  </si>
  <si>
    <t>Pulsar 220 (Mebesto)</t>
  </si>
  <si>
    <t xml:space="preserve">Discover </t>
  </si>
  <si>
    <t xml:space="preserve">Shine/Unicorn </t>
  </si>
  <si>
    <t>Libero/Gladiator</t>
  </si>
  <si>
    <t xml:space="preserve">Ray Series </t>
  </si>
  <si>
    <t>Pulsar 150  (Censor)</t>
  </si>
  <si>
    <t>Pulsar 220 (Censor)</t>
  </si>
  <si>
    <t>FZ (Censor)</t>
  </si>
  <si>
    <t>Pulsar OM</t>
  </si>
  <si>
    <t>Avenger 220/Discover 100</t>
  </si>
  <si>
    <t xml:space="preserve">Unicorn/Shine/Super-Splender </t>
  </si>
  <si>
    <t>Enticer/Gladiator</t>
  </si>
  <si>
    <t xml:space="preserve">Fashino </t>
  </si>
  <si>
    <t xml:space="preserve">Speedo Meter Gotti </t>
  </si>
  <si>
    <t>Dio</t>
  </si>
  <si>
    <t>Alba/YBX/Libero/RX-100</t>
  </si>
  <si>
    <t>Shine/Super-Splender</t>
  </si>
  <si>
    <t>Pleasure</t>
  </si>
  <si>
    <t>Shock Rod</t>
  </si>
  <si>
    <t>Pulsar 150  (UG-3 Jainson)</t>
  </si>
  <si>
    <t>Pulsar 150 (UG-4  Jainson)</t>
  </si>
  <si>
    <t>Pulsar 150 (UG-4 ABN)</t>
  </si>
  <si>
    <t>Pulsar 150 (UG-4 Endurance)</t>
  </si>
  <si>
    <t>Pulsar 220 (Jainson)</t>
  </si>
  <si>
    <t>Pulsar 220 (Ebdurance)</t>
  </si>
  <si>
    <t>FZ (Jainson)</t>
  </si>
  <si>
    <t>FZ (Endurance)</t>
  </si>
  <si>
    <t>Shine (Endurance)</t>
  </si>
  <si>
    <t>Splender (Jainson)</t>
  </si>
  <si>
    <t>XTM (Jainson)</t>
  </si>
  <si>
    <t>RTR (Jainson)</t>
  </si>
  <si>
    <t>Suspention Bush</t>
  </si>
  <si>
    <t>Pulsar 150/CBZ</t>
  </si>
  <si>
    <t xml:space="preserve">Self-Cutout </t>
  </si>
  <si>
    <t xml:space="preserve">Self-Relay </t>
  </si>
  <si>
    <t>Pulsar-4pin (BJ 62)</t>
  </si>
  <si>
    <t>Pulsar-4pin (Thulo 'BJ 42')</t>
  </si>
  <si>
    <t>Pulsar-5pin (BJ 63)</t>
  </si>
  <si>
    <t>FZ (YM 50)</t>
  </si>
  <si>
    <t>Seat Cover</t>
  </si>
  <si>
    <t>XR 150/190</t>
  </si>
  <si>
    <t>Aviator</t>
  </si>
  <si>
    <t>Top</t>
  </si>
  <si>
    <t>3.18/2.75.18</t>
  </si>
  <si>
    <t>3.50.10</t>
  </si>
  <si>
    <t>3.50.8</t>
  </si>
  <si>
    <t>100.90.18/90.90.18</t>
  </si>
  <si>
    <t>100.90.17/90.90.17</t>
  </si>
  <si>
    <t>90.90.12</t>
  </si>
  <si>
    <t>130.90.15</t>
  </si>
  <si>
    <t>300/19</t>
  </si>
  <si>
    <t>300/21</t>
  </si>
  <si>
    <t xml:space="preserve">Tubeless Gun </t>
  </si>
  <si>
    <t>Tubeless Stick</t>
  </si>
  <si>
    <t>350/Per box</t>
  </si>
  <si>
    <t>Puncher Sticker</t>
  </si>
  <si>
    <t>Tanky Cap</t>
  </si>
  <si>
    <t>AS/NS-200</t>
  </si>
  <si>
    <t>YBX/CRUX/YBR</t>
  </si>
  <si>
    <t>Libero</t>
  </si>
  <si>
    <t>Shine/Unicorn</t>
  </si>
  <si>
    <t>Pulsar 150 (S.P.)</t>
  </si>
  <si>
    <t>Pulsar 150 (DEUS-0438P)</t>
  </si>
  <si>
    <t>Timing Pad</t>
  </si>
  <si>
    <t>Pulsar 150 (Bajaj)</t>
  </si>
  <si>
    <t>Karizma</t>
  </si>
  <si>
    <t>Bikes Tyre Sizes</t>
  </si>
  <si>
    <t>140/60/17 (Rear)</t>
  </si>
  <si>
    <t>140/70/17 (Rear)</t>
  </si>
  <si>
    <t>130/70/17 (Rear)</t>
  </si>
  <si>
    <t xml:space="preserve">130/90/15 </t>
  </si>
  <si>
    <t>120/80/17 (Rear)</t>
  </si>
  <si>
    <t>120/80/18 (Rear)</t>
  </si>
  <si>
    <t xml:space="preserve">110/80/17 </t>
  </si>
  <si>
    <t>110/80/12</t>
  </si>
  <si>
    <t>120/70/14</t>
  </si>
  <si>
    <t>110/70/17</t>
  </si>
  <si>
    <t>100/80/17 (Rear)</t>
  </si>
  <si>
    <t>100/80/17 (Front)</t>
  </si>
  <si>
    <t>100/90/17 (Rear)</t>
  </si>
  <si>
    <t>100/90/18 (Rear)</t>
  </si>
  <si>
    <t>90/100/10</t>
  </si>
  <si>
    <t>90/90/19</t>
  </si>
  <si>
    <t>90/90/12</t>
  </si>
  <si>
    <t>90/90/17</t>
  </si>
  <si>
    <t>80/100/17 (Front)</t>
  </si>
  <si>
    <t>80/100/18 (Front)</t>
  </si>
  <si>
    <t>80/100/18 (Rear)</t>
  </si>
  <si>
    <t>3.18 (NGP-Rear)</t>
  </si>
  <si>
    <t>2.75/18 (Front)</t>
  </si>
  <si>
    <t>2.75/18 (NGP-Rear)</t>
  </si>
  <si>
    <t>3.18 (Non-Tubeless-Rear)</t>
  </si>
  <si>
    <t>2.75/17 (Front)</t>
  </si>
  <si>
    <t>Tyres (MRF)</t>
  </si>
  <si>
    <t>Last Price</t>
  </si>
  <si>
    <t>Helmet Name</t>
  </si>
  <si>
    <t xml:space="preserve">Helmet </t>
  </si>
  <si>
    <t>BEAST</t>
  </si>
  <si>
    <t>BABY SHARK</t>
  </si>
  <si>
    <t>VFX</t>
  </si>
  <si>
    <t>BULLET (HALF-Normal)</t>
  </si>
  <si>
    <t>BULLET (HALF-Leather)</t>
  </si>
  <si>
    <t>DASSHING (BLACK+RED)</t>
  </si>
  <si>
    <t>SBA-21 (BLACk+BLUE)</t>
  </si>
  <si>
    <t>Scooter Name</t>
  </si>
  <si>
    <t>Dio OM/Activa OM</t>
  </si>
  <si>
    <t>Tama Bush</t>
  </si>
  <si>
    <t>Green Bush</t>
  </si>
  <si>
    <t xml:space="preserve">Weight Roller/Green/Link Bush/Varrator(Kachaura)/Rear Roller Hub </t>
  </si>
  <si>
    <t>Rear Roller Hub (Dio-NM ASK)</t>
  </si>
  <si>
    <t>Self-Switch (SW-0686-Shine-RH)</t>
  </si>
  <si>
    <t>180/250</t>
  </si>
  <si>
    <t>Blancer (Pulsar 150)</t>
  </si>
  <si>
    <t>Brake Came (All Bike)</t>
  </si>
  <si>
    <t>Back Light Bulb</t>
  </si>
  <si>
    <t>25/35</t>
  </si>
  <si>
    <t>Head Light Bulb (H7-Pulsar 220 "2pin")</t>
  </si>
  <si>
    <t>250/300</t>
  </si>
  <si>
    <t>Head Light Bulb (H4-NS-200 "3pin")</t>
  </si>
  <si>
    <t>150/200</t>
  </si>
  <si>
    <t>Head Light Bulb (HS-Pulsar 150 "3pin")</t>
  </si>
  <si>
    <t>Head Light Bulb (YBX)</t>
  </si>
  <si>
    <t>100/120</t>
  </si>
  <si>
    <t>Brake Pipe (Pulsar 220-Rear)</t>
  </si>
  <si>
    <t>Brake Spring</t>
  </si>
  <si>
    <t>35/40</t>
  </si>
  <si>
    <t xml:space="preserve">Dori </t>
  </si>
  <si>
    <t>85/100</t>
  </si>
  <si>
    <t>Focus Light</t>
  </si>
  <si>
    <t>Double Stand Spring</t>
  </si>
  <si>
    <t>45/60</t>
  </si>
  <si>
    <t>Clutch Gasket (All Bike)</t>
  </si>
  <si>
    <t>35/50</t>
  </si>
  <si>
    <t>Magnet Gasket (All Bike)</t>
  </si>
  <si>
    <t>Coolent (ABS)</t>
  </si>
  <si>
    <t>Flasher with Buzzer</t>
  </si>
  <si>
    <t>Full Gasket (Pulsar 220)</t>
  </si>
  <si>
    <t>170/200</t>
  </si>
  <si>
    <t>Full Gasket (Pulsar 150)</t>
  </si>
  <si>
    <t>Full Gasket (Dio NM)</t>
  </si>
  <si>
    <t>180/220</t>
  </si>
  <si>
    <t>Half-Gasket (All Bike/Scooter)</t>
  </si>
  <si>
    <t>80/150</t>
  </si>
  <si>
    <t>Grip Set Cover Rubber</t>
  </si>
  <si>
    <t>Grip Set (Pulsar)</t>
  </si>
  <si>
    <t>Grip Set (Shine/Unicorn)</t>
  </si>
  <si>
    <t>Grip Set (FZ)</t>
  </si>
  <si>
    <t>Grip per pc (RTR)</t>
  </si>
  <si>
    <t>80/100</t>
  </si>
  <si>
    <t>Handle Gotti (Unicorn/Pulsar)</t>
  </si>
  <si>
    <t xml:space="preserve">25/30 per set </t>
  </si>
  <si>
    <t>Handle Gotti (FZ)</t>
  </si>
  <si>
    <t xml:space="preserve">60/70 per set </t>
  </si>
  <si>
    <t>230/280</t>
  </si>
  <si>
    <t>Handle Bar (Pulsar 150)</t>
  </si>
  <si>
    <t>Handle Bar (Unicorn)</t>
  </si>
  <si>
    <t>Handle Bar (FZ)</t>
  </si>
  <si>
    <t>Handle Bar (Pulsar 220) per set</t>
  </si>
  <si>
    <t>Handle Bar (Splender)</t>
  </si>
  <si>
    <t>Handle Bar (Shine)</t>
  </si>
  <si>
    <t>Head Light Glass (Pulsar 150)</t>
  </si>
  <si>
    <t>230/300</t>
  </si>
  <si>
    <t>Head Light Glass (Pulsar 220)</t>
  </si>
  <si>
    <t>390/450</t>
  </si>
  <si>
    <t>Legguard (Pulsar 220)</t>
  </si>
  <si>
    <t>1400/1550</t>
  </si>
  <si>
    <t>Legguard (Pulsar 150 UG5)</t>
  </si>
  <si>
    <t>1320/1450</t>
  </si>
  <si>
    <t>Legguard (Pulsar 150 UG6)</t>
  </si>
  <si>
    <t>1450/1650</t>
  </si>
  <si>
    <t>Legguard (FZS)</t>
  </si>
  <si>
    <t>1000/1100</t>
  </si>
  <si>
    <t>Legguard (FSV2)</t>
  </si>
  <si>
    <t>1100/1300</t>
  </si>
  <si>
    <t>1050/1300</t>
  </si>
  <si>
    <t>Legguard (Shine)</t>
  </si>
  <si>
    <t>Legguard (Unicorn)</t>
  </si>
  <si>
    <t>Legguard (RTR NM)</t>
  </si>
  <si>
    <t>1650/1800</t>
  </si>
  <si>
    <t>On/Off Switch</t>
  </si>
  <si>
    <t>130/160</t>
  </si>
  <si>
    <t>Rain Coat (Suit ma)</t>
  </si>
  <si>
    <t>Silencer Cover (Pulsar 150)</t>
  </si>
  <si>
    <t>360/400</t>
  </si>
  <si>
    <t>Silencer Cover (Grazzia)</t>
  </si>
  <si>
    <t>210/300</t>
  </si>
  <si>
    <t>Silencer Cover (Dio NM)</t>
  </si>
  <si>
    <t>110/150</t>
  </si>
  <si>
    <t>Side Cover (Pulsar) per set</t>
  </si>
  <si>
    <t>950/1100</t>
  </si>
  <si>
    <t xml:space="preserve">Side Cover (Shine) per set </t>
  </si>
  <si>
    <t>Shock Oil (Bullet-175 ml)</t>
  </si>
  <si>
    <t>60/80</t>
  </si>
  <si>
    <t xml:space="preserve">Side Stand Pata </t>
  </si>
  <si>
    <t>180/200</t>
  </si>
  <si>
    <t>Tail Pannel (Pulsar)</t>
  </si>
  <si>
    <t xml:space="preserve">Price </t>
  </si>
  <si>
    <t xml:space="preserve">Grazzia </t>
  </si>
  <si>
    <t xml:space="preserve"> .</t>
  </si>
  <si>
    <t>Full Gasket (FZ)</t>
  </si>
  <si>
    <t>Splender/I-smart</t>
  </si>
  <si>
    <t>90/120</t>
  </si>
  <si>
    <t>Chainlock (Pulsar 150)</t>
  </si>
  <si>
    <t>Chainlock (Pulsar 220)</t>
  </si>
  <si>
    <t>70/100</t>
  </si>
  <si>
    <t>Chainlock (FZ/RTR)</t>
  </si>
  <si>
    <t>Chainlock (Shine)</t>
  </si>
  <si>
    <t>Chainlock (Bullet)</t>
  </si>
  <si>
    <t>CBZ Star OM</t>
  </si>
  <si>
    <t>Self-Switch (Scooter-Varroc)</t>
  </si>
  <si>
    <t>Grease (Small)</t>
  </si>
  <si>
    <t>Pulsar 220 NM-BS6 (FC4946FZ "E")</t>
  </si>
  <si>
    <t xml:space="preserve">Others </t>
  </si>
  <si>
    <t>Dio OM (Honda- 14H23)</t>
  </si>
  <si>
    <t>3.17/2.75.17</t>
  </si>
  <si>
    <t>Unicorn/Shine Gotti (Censor)</t>
  </si>
  <si>
    <t xml:space="preserve">FZ V2 double </t>
  </si>
  <si>
    <t>Gear Rubber</t>
  </si>
  <si>
    <t>Euro Filter (Dio NM)</t>
  </si>
  <si>
    <t>NS-200 (Bajaj-Company)</t>
  </si>
  <si>
    <t>RTR (160/180)</t>
  </si>
  <si>
    <t>Unicorn/Sup-Spl (ABN)</t>
  </si>
  <si>
    <t>FZ/YBX/CRUX/Enticer</t>
  </si>
  <si>
    <t>Pulsar (Pollysu)</t>
  </si>
  <si>
    <t>Splender (Pollysu)</t>
  </si>
  <si>
    <t>CBZ/ Alba/Xplus</t>
  </si>
  <si>
    <t>30/35</t>
  </si>
  <si>
    <t>Side Light Bulb(big)</t>
  </si>
  <si>
    <t>20/30</t>
  </si>
  <si>
    <t>DK201098 (Bajaj)</t>
  </si>
  <si>
    <t>Rear Brake switch (Pul-M)</t>
  </si>
  <si>
    <t>Rear Brake switch (FZ-M)</t>
  </si>
  <si>
    <t>105/130</t>
  </si>
  <si>
    <t>Makhi/Inner (Acc+Clutch)</t>
  </si>
  <si>
    <t xml:space="preserve">ASK </t>
  </si>
  <si>
    <t xml:space="preserve">Ray OM/ Fashino </t>
  </si>
  <si>
    <t>.</t>
  </si>
  <si>
    <t>100/150</t>
  </si>
  <si>
    <t>Came Chain Set (Spl)</t>
  </si>
  <si>
    <t>NTRQ (Sasto ma)</t>
  </si>
  <si>
    <t>648 C</t>
  </si>
  <si>
    <t>648 F</t>
  </si>
  <si>
    <t>647 C</t>
  </si>
  <si>
    <t>630 E</t>
  </si>
  <si>
    <t>629 C</t>
  </si>
  <si>
    <t xml:space="preserve">FZV2/FZ250 </t>
  </si>
  <si>
    <t>Entry Type</t>
  </si>
  <si>
    <t>Unicorn (F.C.C.)</t>
  </si>
  <si>
    <t>Clutch Kachaura (Dio NM)</t>
  </si>
  <si>
    <t>KT-2184HZ €</t>
  </si>
  <si>
    <t>SHN (4 Plates)</t>
  </si>
  <si>
    <t>Uni/RTR/Hornet/NS-200/UG6/Pul NM/AS/X-plus (5 Plates)</t>
  </si>
  <si>
    <t>Motul (1200 ml)</t>
  </si>
  <si>
    <t>Motul (1000 ml)</t>
  </si>
  <si>
    <t>One  Way Bearing Gotti (Pul EE10)</t>
  </si>
  <si>
    <t>1309KZ (Avenger- 2pin)</t>
  </si>
  <si>
    <t>Super-Splender (Without Lock)</t>
  </si>
  <si>
    <t>Super-Splender (With Lock)</t>
  </si>
  <si>
    <t>NS-200 NM/160 NS NM</t>
  </si>
  <si>
    <t>FZ 250 rear (Superjit)</t>
  </si>
  <si>
    <t>380/390</t>
  </si>
  <si>
    <t>Gixxer/NTRQ/ SAM</t>
  </si>
  <si>
    <t>Superjit</t>
  </si>
  <si>
    <t>CBZ/Gixxer</t>
  </si>
  <si>
    <t>Pulsar BS 4 (7170A)</t>
  </si>
  <si>
    <t>Hanger bush</t>
  </si>
  <si>
    <t>Qty in Hand</t>
  </si>
  <si>
    <t>Qty Sold</t>
  </si>
  <si>
    <t xml:space="preserve">Available Stock  </t>
  </si>
  <si>
    <t xml:space="preserve">Status </t>
  </si>
  <si>
    <t>Status</t>
  </si>
  <si>
    <t xml:space="preserve">Available Stock </t>
  </si>
  <si>
    <t>Qty in Hand (PCS)</t>
  </si>
  <si>
    <t>Available Stock</t>
  </si>
  <si>
    <r>
      <rPr>
        <b/>
        <sz val="20"/>
        <color theme="1"/>
        <rFont val="Calibri"/>
        <family val="2"/>
        <scheme val="minor"/>
      </rPr>
      <t>Status</t>
    </r>
    <r>
      <rPr>
        <b/>
        <sz val="11"/>
        <color theme="1"/>
        <rFont val="Calibri"/>
        <family val="2"/>
        <scheme val="minor"/>
      </rPr>
      <t xml:space="preserve"> </t>
    </r>
  </si>
  <si>
    <t>Retail Price/SET</t>
  </si>
  <si>
    <t>NTRQ (Front-LH)</t>
  </si>
  <si>
    <t>NTRQ (Front-RH)</t>
  </si>
  <si>
    <t>UG4 (Bajaj)</t>
  </si>
  <si>
    <t xml:space="preserve">Varrator(Kachaura- F.C.C.) "Ray" </t>
  </si>
  <si>
    <t>Brake Oil (Smart DOT4)</t>
  </si>
  <si>
    <t>Bullet (Single)</t>
  </si>
  <si>
    <t>Bullet (Double)</t>
  </si>
  <si>
    <t>NTQR FI</t>
  </si>
  <si>
    <t>Ray FI</t>
  </si>
  <si>
    <t>Shock Spring</t>
  </si>
  <si>
    <t>Dio OM (combo)</t>
  </si>
  <si>
    <t xml:space="preserve">Retail Price/SET </t>
  </si>
  <si>
    <t>Clutch Cable</t>
  </si>
  <si>
    <t>Splender (RH)</t>
  </si>
  <si>
    <t>Splender (LH)</t>
  </si>
  <si>
    <t>Pulsar (RH)</t>
  </si>
  <si>
    <t>Pulsar (LH)</t>
  </si>
  <si>
    <t>CBZ (RH)</t>
  </si>
  <si>
    <t>CBZ (LH)</t>
  </si>
  <si>
    <t>CBZ XTM (Digital-RH)</t>
  </si>
  <si>
    <t>CBZ XTM (Digital-LH)</t>
  </si>
  <si>
    <t>NS-200  (RH)</t>
  </si>
  <si>
    <t>NS-200 (LH)</t>
  </si>
  <si>
    <t>FZ (RH)</t>
  </si>
  <si>
    <t>FZ (LH)</t>
  </si>
  <si>
    <t>Shine (RH)</t>
  </si>
  <si>
    <t>Shine (LH)</t>
  </si>
  <si>
    <t>RTR (RH)</t>
  </si>
  <si>
    <t>RTR (LH)</t>
  </si>
  <si>
    <t>NS-200 (RH)</t>
  </si>
  <si>
    <t>FZ/RTR-200 (RH)</t>
  </si>
  <si>
    <t>FZ/RTR-200 (LH)</t>
  </si>
  <si>
    <t>XTM Digital (LH)</t>
  </si>
  <si>
    <t>XTM Digital (RH)</t>
  </si>
  <si>
    <t>CBZ (Shiveer RH)</t>
  </si>
  <si>
    <t>CBZ (Shiveer LH)</t>
  </si>
  <si>
    <t>Qty in Hand/PCS</t>
  </si>
  <si>
    <t>Qty Sold/PCS</t>
  </si>
  <si>
    <t>Available Stock/PCS</t>
  </si>
  <si>
    <t>UG3 (Clutch)</t>
  </si>
  <si>
    <t>UG3 (Brake)</t>
  </si>
  <si>
    <t>UG4 (Clutch)</t>
  </si>
  <si>
    <t>UG4 (Brake))</t>
  </si>
  <si>
    <t>Dio OM (LH)</t>
  </si>
  <si>
    <t>Dio OM (RH)</t>
  </si>
  <si>
    <t>RTR/MT (Clutch)</t>
  </si>
  <si>
    <t>RTR/MT (Brake)</t>
  </si>
  <si>
    <t>FZ (Clutch)</t>
  </si>
  <si>
    <t>FZ (Brake)</t>
  </si>
  <si>
    <t>Dio NM (RH)</t>
  </si>
  <si>
    <t>Shine/Passion/Pro(Brake)</t>
  </si>
  <si>
    <t>Shine/Passion/Pro(Clutch)</t>
  </si>
  <si>
    <t>Unicorn/XTM/CBZ/Hunk (Clutch)</t>
  </si>
  <si>
    <t>Unicorn/XTM/CBZ/Hunk (Brake)</t>
  </si>
  <si>
    <t>Pulsar 220(RH)</t>
  </si>
  <si>
    <t>Pulsar 220(LH)</t>
  </si>
  <si>
    <t>Pulsar 150/180/Platina (LH)</t>
  </si>
  <si>
    <t>Pulsar 150/180/Platina (RH)</t>
  </si>
  <si>
    <t>FZ OM (RH)</t>
  </si>
  <si>
    <t>FZ OM (LH)</t>
  </si>
  <si>
    <t>Dio NM (LH)</t>
  </si>
  <si>
    <t>Avenger (RH)</t>
  </si>
  <si>
    <t>Avenger (LH)</t>
  </si>
  <si>
    <t>RTR 200 (RH)</t>
  </si>
  <si>
    <t>RTR 200 LH)</t>
  </si>
  <si>
    <t>Pulsar 220 (RH)</t>
  </si>
  <si>
    <t>Pulsar 220 (LH)</t>
  </si>
  <si>
    <t>Ray OM (RH)</t>
  </si>
  <si>
    <t>Ray OM (LH)</t>
  </si>
  <si>
    <t>FZ 250 (RH)</t>
  </si>
  <si>
    <t>FZ 250 (LH)</t>
  </si>
  <si>
    <t>XR (RH)</t>
  </si>
  <si>
    <t>XR (LH)</t>
  </si>
  <si>
    <t>R15 (RH)</t>
  </si>
  <si>
    <t>R15 (LH)</t>
  </si>
  <si>
    <t>Avenger-Chrome (RH)</t>
  </si>
  <si>
    <t>Avenger-Chrome (LH)</t>
  </si>
  <si>
    <t>Ray (RH)</t>
  </si>
  <si>
    <t>Ray LH)</t>
  </si>
  <si>
    <t>Unicorn OM (RH)</t>
  </si>
  <si>
    <t>Unicorn OM (LH)</t>
  </si>
  <si>
    <t>Fashino (RH)</t>
  </si>
  <si>
    <t>Fashino (LH)</t>
  </si>
  <si>
    <t>NTRQ (RH)</t>
  </si>
  <si>
    <t>NTRQ (LH)</t>
  </si>
  <si>
    <t>Sup-Splender/Sup-Plus (RH)</t>
  </si>
  <si>
    <t>Sup-Splender/Sup-Plus (LH)</t>
  </si>
  <si>
    <t>Gixxer (RH)</t>
  </si>
  <si>
    <t>Gixxer (LH)</t>
  </si>
  <si>
    <t>FZ 250 (RH))</t>
  </si>
  <si>
    <t>FZ 250 (LH))</t>
  </si>
  <si>
    <t>DIo NM (LH)</t>
  </si>
  <si>
    <t>Unicorn NM (RH)</t>
  </si>
  <si>
    <t>Unicorn NM (LH)</t>
  </si>
  <si>
    <t>Pulsar 150 (RH)</t>
  </si>
  <si>
    <t>Pulsar 150 (LH)</t>
  </si>
  <si>
    <t>Avenger Chrome (RH)</t>
  </si>
  <si>
    <t>Avenger Chrome (LH)</t>
  </si>
  <si>
    <t>RTR 200 (LH)</t>
  </si>
  <si>
    <t>Bullet (RH)</t>
  </si>
  <si>
    <t>Bullet (LH)</t>
  </si>
  <si>
    <t xml:space="preserve">NS-200 (RH) </t>
  </si>
  <si>
    <t xml:space="preserve">NS-200 (LH) </t>
  </si>
  <si>
    <t xml:space="preserve">Enticer (RH) </t>
  </si>
  <si>
    <t xml:space="preserve">Enticer (LH) </t>
  </si>
  <si>
    <t>Pulsar (Big)</t>
  </si>
  <si>
    <t>Qty in Hand/SET</t>
  </si>
  <si>
    <t>Qty Sold/SET</t>
  </si>
  <si>
    <t>Rear Shock (Endurance)</t>
  </si>
  <si>
    <t>Pulsar 135/RTR</t>
  </si>
  <si>
    <t>FZ (Mono)</t>
  </si>
  <si>
    <t>SHINE</t>
  </si>
  <si>
    <t>Dio (Mono)</t>
  </si>
  <si>
    <t>Qty Sold/CS</t>
  </si>
  <si>
    <t xml:space="preserve">Enticer </t>
  </si>
  <si>
    <t>Alba/Libero</t>
  </si>
  <si>
    <t>Ray ZR</t>
  </si>
  <si>
    <t>Super Splender OM</t>
  </si>
  <si>
    <t>Super Splender NM</t>
  </si>
  <si>
    <t>Tanky Set</t>
  </si>
  <si>
    <t>KT-2184HZ € (Pul 220)</t>
  </si>
  <si>
    <t xml:space="preserve">Varrator(Kachaura- F.C.C.) "Pleasure" </t>
  </si>
  <si>
    <t xml:space="preserve">Varrator(Kachaura- F.C.C.) "G1" </t>
  </si>
  <si>
    <t>Varratoe(Kachaura-F.C.C.) "G2"</t>
  </si>
  <si>
    <t>scooter switch (Starting)</t>
  </si>
  <si>
    <t>scooter switch (Horn)</t>
  </si>
  <si>
    <t>scooter switch (Sidelight)</t>
  </si>
  <si>
    <t>scooter switch (Head Dim ON/OFF)</t>
  </si>
  <si>
    <t>scooter switch (Light ON/OFF)</t>
  </si>
  <si>
    <t>50/80</t>
  </si>
  <si>
    <t>Avenger 220</t>
  </si>
  <si>
    <t>Avenger 150 Street</t>
  </si>
  <si>
    <t>Discover 125 ST</t>
  </si>
  <si>
    <t>Discover UPG/135</t>
  </si>
  <si>
    <t>FZ V2/V3, rear disc</t>
  </si>
  <si>
    <t>MT 15</t>
  </si>
  <si>
    <t>Enticer</t>
  </si>
  <si>
    <t>Pulsar 150 Twin Disk</t>
  </si>
  <si>
    <t>Unicorn 160</t>
  </si>
  <si>
    <t>Super Splender</t>
  </si>
  <si>
    <t>X-pluse 200</t>
  </si>
  <si>
    <t>IMPLUSE/XR 150</t>
  </si>
  <si>
    <t>RTR 180/160 OM</t>
  </si>
  <si>
    <t>R15 V1</t>
  </si>
  <si>
    <t>KTM 200</t>
  </si>
  <si>
    <t>KTM 200  (6-Holes)</t>
  </si>
  <si>
    <t>Bajaj</t>
  </si>
  <si>
    <r>
      <rPr>
        <b/>
        <sz val="20"/>
        <color theme="1"/>
        <rFont val="Calibri"/>
        <family val="2"/>
        <scheme val="minor"/>
      </rPr>
      <t>Honda</t>
    </r>
    <r>
      <rPr>
        <b/>
        <sz val="11"/>
        <color theme="1"/>
        <rFont val="Calibri"/>
        <family val="2"/>
        <scheme val="minor"/>
      </rPr>
      <t xml:space="preserve"> </t>
    </r>
  </si>
  <si>
    <t>Hero</t>
  </si>
  <si>
    <t>SUZUKI</t>
  </si>
  <si>
    <t>Ray (A)</t>
  </si>
  <si>
    <t>Ray (B)</t>
  </si>
  <si>
    <t>FZ 16/ FZS</t>
  </si>
  <si>
    <t>FZS(A)</t>
  </si>
  <si>
    <t>FZS V2 FI 'B'</t>
  </si>
  <si>
    <t>CBZ OM</t>
  </si>
  <si>
    <t>Tigger</t>
  </si>
  <si>
    <t>Honda</t>
  </si>
  <si>
    <t>FZ V2</t>
  </si>
  <si>
    <t>Unicorn/ Gixxer/ShineNM (Front)</t>
  </si>
  <si>
    <t>Shine/Hornet NM (Front- Superjit)</t>
  </si>
  <si>
    <t>Shine OM (Front)</t>
  </si>
  <si>
    <t>Aprilla/ Gixxer (Superjit- FR)</t>
  </si>
  <si>
    <t>Gixxer (Sasto- RR)</t>
  </si>
  <si>
    <t>GS</t>
  </si>
  <si>
    <t>Dio NM (Front-LH)</t>
  </si>
  <si>
    <t>Dio NM (Fornt-RH)</t>
  </si>
  <si>
    <t>Dio NM (Rear)</t>
  </si>
  <si>
    <t>Dio OM (Front)</t>
  </si>
  <si>
    <t>Dio OM (Rear)</t>
  </si>
  <si>
    <t>Ray (Front)</t>
  </si>
  <si>
    <t>UG4/Pulsar/Discover</t>
  </si>
  <si>
    <t>UG3/Pulsar/Discover</t>
  </si>
  <si>
    <t>Apachi RTR 200/NS 200/X-pluse)</t>
  </si>
  <si>
    <t>FZ (Yamaha Packing)</t>
  </si>
  <si>
    <t>RTR 200 (RMP)</t>
  </si>
  <si>
    <t>Pul 150 (DH-72)</t>
  </si>
  <si>
    <t>RTR OM LH</t>
  </si>
  <si>
    <t>RTR OM RH</t>
  </si>
  <si>
    <t xml:space="preserve">  </t>
  </si>
  <si>
    <t xml:space="preserve">RTR 200 </t>
  </si>
  <si>
    <t>CT 100</t>
  </si>
  <si>
    <t>Glamour</t>
  </si>
  <si>
    <t>Splender (Clutch)</t>
  </si>
  <si>
    <t>Avenger Black (LH)</t>
  </si>
  <si>
    <t>Avenger Black (RH)</t>
  </si>
  <si>
    <t>Discover 135/125</t>
  </si>
  <si>
    <t>Pulsar 150/Unicorn (SFN)</t>
  </si>
  <si>
    <t>FZ/RTR (SFN)</t>
  </si>
  <si>
    <t>Pulsar 220/Avenger (SFN)</t>
  </si>
  <si>
    <t>RX 100 (E6TC)</t>
  </si>
  <si>
    <t>Pulsar 150 (Yellow)</t>
  </si>
  <si>
    <t>Splender Plus(Red)</t>
  </si>
  <si>
    <t>Splender Pro (White)</t>
  </si>
  <si>
    <t>Super-Splender (White)</t>
  </si>
  <si>
    <t>Super-Splender (Yellow)</t>
  </si>
  <si>
    <t>FZ (White)</t>
  </si>
  <si>
    <t>FZ (Yellow)</t>
  </si>
  <si>
    <t>Libero/Alba/YBX</t>
  </si>
  <si>
    <t>Pulsar 150 (UG-3 Endurance)</t>
  </si>
  <si>
    <t>Pulsar 220 (Pulsar BJ41)</t>
  </si>
  <si>
    <t>Dio/Activa (KI44)</t>
  </si>
  <si>
    <t>CBZ XTM (Single)</t>
  </si>
  <si>
    <t>CBZ XTM (Double)</t>
  </si>
  <si>
    <t>Chainkit</t>
  </si>
  <si>
    <t>Dio HET</t>
  </si>
  <si>
    <t>Aprilla</t>
  </si>
  <si>
    <t xml:space="preserve">Hanger bush </t>
  </si>
  <si>
    <t>50/pcs</t>
  </si>
  <si>
    <t>80/pcs</t>
  </si>
  <si>
    <t>CBZ (D8TC-RP)/ Xplus/ Alba</t>
  </si>
  <si>
    <t>Side Light Bulb(small-white)</t>
  </si>
  <si>
    <t>Side Light Bulb(small-red)</t>
  </si>
  <si>
    <t>Head Light Bulb (Auto Lamp)</t>
  </si>
  <si>
    <t>40/50</t>
  </si>
  <si>
    <t>Bike Cover (Sasto)</t>
  </si>
  <si>
    <t>Bike Cover (Ramro)</t>
  </si>
  <si>
    <t>Unicorn/Sup-Spl/ Shine/X-pluse</t>
  </si>
  <si>
    <t>Dio NM/Activa NM (HET)</t>
  </si>
  <si>
    <t>Speedo Meter Cable</t>
  </si>
  <si>
    <t>Link Bush</t>
  </si>
  <si>
    <t>Enitcer/Bullet/Boxer (White)</t>
  </si>
  <si>
    <t>Enitcer/Bullet/Boxer (Yellow)</t>
  </si>
  <si>
    <t>Shine NM</t>
  </si>
  <si>
    <t>Xpluse</t>
  </si>
  <si>
    <t>170/230</t>
  </si>
  <si>
    <t>Brake Oil (Servo)</t>
  </si>
  <si>
    <t>Grazzia/Activa</t>
  </si>
  <si>
    <t>Pul 220 (DK-81)</t>
  </si>
  <si>
    <t>Varrator (Kachaura- Company) "NTRQ"</t>
  </si>
  <si>
    <t xml:space="preserve">Pulsar/220/ NS-200/FZ/Gladiator/R15V3/Enticer (Fron-Superjit) </t>
  </si>
  <si>
    <t xml:space="preserve">Pulsar/220/ NS-200/FZ/Gladiator/R15V3/Bullet/ Enticer (Front) </t>
  </si>
  <si>
    <t>s</t>
  </si>
  <si>
    <t xml:space="preserve">Side Light </t>
  </si>
  <si>
    <t>NS 200 (JL 01)</t>
  </si>
  <si>
    <t>Raidar</t>
  </si>
  <si>
    <t>Bullet/Tractor (F7TC-RP/ LML)</t>
  </si>
  <si>
    <t>Pulsar BS3 (7170)</t>
  </si>
  <si>
    <t>RTR-200 (Front- Jainson)</t>
  </si>
  <si>
    <t>RTR-200 (Rear- Jainson)</t>
  </si>
  <si>
    <t>Pulsar150/ Discover 100</t>
  </si>
  <si>
    <t>Pulsar 220 (King)</t>
  </si>
  <si>
    <t>130/180</t>
  </si>
  <si>
    <t>Head Light Bulb (HS-Pulsar 150 "3pin" 40-45)</t>
  </si>
  <si>
    <t>200/250</t>
  </si>
  <si>
    <t>Ray 125 ST FI</t>
  </si>
  <si>
    <t>Shine/Unicorn/XTM (Honda  Packing)</t>
  </si>
  <si>
    <t>8/10 per pcs</t>
  </si>
  <si>
    <t>300/PKT</t>
  </si>
  <si>
    <t>Splender /Sup-Spl</t>
  </si>
  <si>
    <t>Dis 135 (5 plate)</t>
  </si>
  <si>
    <t>Varrator (kanchaura-ABN) "G.2"</t>
  </si>
  <si>
    <t xml:space="preserve">Unicorn/RTR </t>
  </si>
  <si>
    <t>Pul 150 (Mebesto)</t>
  </si>
  <si>
    <t>Pul (UG4-DAT)</t>
  </si>
  <si>
    <t>FZ V2 FI</t>
  </si>
  <si>
    <t>Front Brake Switch (FZ)</t>
  </si>
  <si>
    <t>160/200</t>
  </si>
  <si>
    <t>Front Brake Switch (Pul)</t>
  </si>
  <si>
    <t>Disk Lock</t>
  </si>
  <si>
    <t>RTR-series/X-pluse/Impluse (Rear-Superjit)</t>
  </si>
  <si>
    <t>Pulsar 220 (Bajaj packing)</t>
  </si>
  <si>
    <t>Diwan Autoparts</t>
  </si>
  <si>
    <t xml:space="preserve">FZ </t>
  </si>
  <si>
    <t>Pul 220 (DAT)</t>
  </si>
  <si>
    <t>Jaali/Eye (Pul 220)</t>
  </si>
  <si>
    <t>150/set</t>
  </si>
  <si>
    <t>RTR Non FI 200</t>
  </si>
  <si>
    <t>RTR FI</t>
  </si>
  <si>
    <t>Hornet/Unicorn 160</t>
  </si>
  <si>
    <t>RTR NM</t>
  </si>
  <si>
    <t xml:space="preserve">NS 200 </t>
  </si>
  <si>
    <t>Unicorn/XTRM (Superjit)</t>
  </si>
  <si>
    <t>350/400</t>
  </si>
  <si>
    <t>FZ (F.C.C.)</t>
  </si>
  <si>
    <t>0660 AL</t>
  </si>
  <si>
    <t>0659 AD</t>
  </si>
  <si>
    <t>0640 B</t>
  </si>
  <si>
    <t>0639 B</t>
  </si>
  <si>
    <t>Full Gasket (Unicorn)</t>
  </si>
  <si>
    <t>Full Gasket (Shine)</t>
  </si>
  <si>
    <t>Avenger (Black LH)</t>
  </si>
  <si>
    <t>Pulsar (Endorance)</t>
  </si>
  <si>
    <t>Pulsar 150 /220 OM (Bajaj)</t>
  </si>
  <si>
    <t>NTRQ/ SAM</t>
  </si>
  <si>
    <t>KB4S</t>
  </si>
  <si>
    <t>NTRQ/Jupiter (Superjit)</t>
  </si>
  <si>
    <t xml:space="preserve">Aprillia </t>
  </si>
  <si>
    <t>Aprillia (Front)</t>
  </si>
  <si>
    <t>Aprillia (Rear)</t>
  </si>
  <si>
    <t>Shine (F.C.C.)</t>
  </si>
  <si>
    <t>Avenger (Black RH)</t>
  </si>
  <si>
    <t>R15(Rear)/Xtrm double disk (Rear)</t>
  </si>
  <si>
    <t>Pulsar 150 /220 NM (Bajaj)</t>
  </si>
  <si>
    <t>RTR 200/Raider</t>
  </si>
  <si>
    <t>RTR 180/ Pul 180</t>
  </si>
  <si>
    <t>Shine/Splender/Super Splender</t>
  </si>
  <si>
    <t>RTR/Gixxer</t>
  </si>
  <si>
    <t>Dazzler/ Unicorn/Gixxer/Xpluse (Rear)</t>
  </si>
  <si>
    <t>RTR-series (Rear)</t>
  </si>
  <si>
    <t>35/pcs</t>
  </si>
  <si>
    <t>Rear Shock Bush (Dio)</t>
  </si>
  <si>
    <t>Rear Shock Bush (Pulsar)</t>
  </si>
  <si>
    <t>45/70</t>
  </si>
  <si>
    <t>Wax</t>
  </si>
  <si>
    <t>120/150</t>
  </si>
  <si>
    <t>XTM (Rear)</t>
  </si>
  <si>
    <t>Unicorn (Front)</t>
  </si>
  <si>
    <t>FZ (Front)</t>
  </si>
  <si>
    <t>FZ (Rear Disk)</t>
  </si>
  <si>
    <t>Pulsar UG 3 (FC- 4987Z "E")</t>
  </si>
  <si>
    <t>130/190</t>
  </si>
  <si>
    <t>Pulsar 220 (Mesto)</t>
  </si>
  <si>
    <t>FZ (Mesto)</t>
  </si>
  <si>
    <t xml:space="preserve">Veer </t>
  </si>
  <si>
    <t>Super Splender (RH)</t>
  </si>
  <si>
    <t>R15/Xtrm double disk (Rear-Superjit)</t>
  </si>
  <si>
    <t xml:space="preserve">Pulsar 150/180 </t>
  </si>
  <si>
    <t>Splender/Sup-Splender  (Champion)</t>
  </si>
  <si>
    <t>Splender/Bullet/ I-smart</t>
  </si>
  <si>
    <t>Distill Water</t>
  </si>
  <si>
    <t xml:space="preserve">Acid </t>
  </si>
  <si>
    <t>15/20</t>
  </si>
  <si>
    <t>50/60</t>
  </si>
  <si>
    <t>Qty Sold/PCs</t>
  </si>
  <si>
    <t>wholesale</t>
  </si>
  <si>
    <t>Retail</t>
  </si>
  <si>
    <t>Qty in hand`</t>
  </si>
  <si>
    <t>available stock</t>
  </si>
  <si>
    <t>Bikes</t>
  </si>
  <si>
    <t>pul 150</t>
  </si>
  <si>
    <t>Hero Honda/CD 100</t>
  </si>
  <si>
    <t>Dio OM/Pleasure (Misuboshi Blue)</t>
  </si>
  <si>
    <t>FZ (YM 82)</t>
  </si>
  <si>
    <t>30/pcs</t>
  </si>
  <si>
    <t>40/pcs</t>
  </si>
  <si>
    <t>R. Shock bush (Dio)</t>
  </si>
  <si>
    <t>FZ (King)</t>
  </si>
  <si>
    <t>Ray (Yamanha)</t>
  </si>
  <si>
    <t>Dio NM/HET (Honda)</t>
  </si>
  <si>
    <t>Dio OM/ Pleasure (Honda)</t>
  </si>
  <si>
    <t>800/1050</t>
  </si>
  <si>
    <t>Splender/Unicorn/Super-Splender/Dio (31M1)</t>
  </si>
  <si>
    <t>Grease (Half-Kg Servo)</t>
  </si>
  <si>
    <t>Grease (Half-Kg Sasto)</t>
  </si>
  <si>
    <t>NS 200 (RH)</t>
  </si>
  <si>
    <t>NS 200 (LH)</t>
  </si>
  <si>
    <t>Tube</t>
  </si>
  <si>
    <t>Dio (Mesto)</t>
  </si>
  <si>
    <t>Petronus (BULLET)</t>
  </si>
  <si>
    <t>SZR/RTR</t>
  </si>
  <si>
    <t>Pulsar 220/Avenger/NS 200</t>
  </si>
  <si>
    <t>Bullet O Ring</t>
  </si>
  <si>
    <t>1300/1500</t>
  </si>
  <si>
    <t>Bearing</t>
  </si>
  <si>
    <t xml:space="preserve">FZ V3 </t>
  </si>
  <si>
    <t>Bullet (Champion)</t>
  </si>
  <si>
    <t>Spray (W.D.40)</t>
  </si>
  <si>
    <t>200/280</t>
  </si>
  <si>
    <t>Horn (Hero)</t>
  </si>
  <si>
    <t>NS 200</t>
  </si>
  <si>
    <t>Grip per pc (FZV2)</t>
  </si>
  <si>
    <t>Pulsar/220/NS-200 (Rear- ASK)</t>
  </si>
  <si>
    <t>Gladiator (H196)</t>
  </si>
  <si>
    <t>Pul (DH 56)</t>
  </si>
  <si>
    <t>Aprillia</t>
  </si>
  <si>
    <t>Varrator (Kachaura- Aprillia)</t>
  </si>
  <si>
    <t>Dazzler/ Unicorn/Gixxer/Xpluse (Rear-Superjit)</t>
  </si>
  <si>
    <t>Pulsar NM/220-NM/Twin-Disk (Rear-Superjit)</t>
  </si>
  <si>
    <t>Jupiter/Dio OM (Honda)</t>
  </si>
  <si>
    <t>Shine (Jainsons)</t>
  </si>
  <si>
    <t>UG3-150 (Bajaj)</t>
  </si>
  <si>
    <t>RTR NM RH</t>
  </si>
  <si>
    <t>Unicorn 160/ NM (F.C.C.)</t>
  </si>
  <si>
    <t>Tubless Gun</t>
  </si>
  <si>
    <t>Ns-200 FI</t>
  </si>
  <si>
    <t>RTR NM LH</t>
  </si>
  <si>
    <t>Handle Bar (Pulsar 220 bajaj) per set</t>
  </si>
  <si>
    <t>Pulsar (BJ 26)</t>
  </si>
  <si>
    <t>Unicorn/Shine/FZ (Varroc)</t>
  </si>
  <si>
    <t>Ray ZR FI</t>
  </si>
  <si>
    <t>Pulsar 150 (Fire)</t>
  </si>
  <si>
    <t>KTM</t>
  </si>
  <si>
    <t>Duke OM (RH)</t>
  </si>
  <si>
    <t>Duke OM (LH)</t>
  </si>
  <si>
    <t>Duke Front</t>
  </si>
  <si>
    <t xml:space="preserve">Cross Fire </t>
  </si>
  <si>
    <t>FZ (Varocc-EE47)</t>
  </si>
  <si>
    <t xml:space="preserve">All Fuse </t>
  </si>
  <si>
    <t>15/pcs</t>
  </si>
  <si>
    <t>UG3</t>
  </si>
  <si>
    <t>Shine RH</t>
  </si>
  <si>
    <t>Shine Lh</t>
  </si>
  <si>
    <t>Varrator (Kachaura-Geenuie)</t>
  </si>
  <si>
    <t>Gear Oil (Motul)</t>
  </si>
  <si>
    <t>130/200</t>
  </si>
  <si>
    <t>Grease (1 Kg- Sasto)</t>
  </si>
  <si>
    <t>450/600</t>
  </si>
  <si>
    <t>200/300</t>
  </si>
  <si>
    <t>685AQ</t>
  </si>
  <si>
    <t>685Q</t>
  </si>
  <si>
    <t>685AR</t>
  </si>
  <si>
    <t>60/100</t>
  </si>
  <si>
    <t>CBZ/RTR-series/X-pluse/Impluse (Front-Superjit)</t>
  </si>
  <si>
    <t>Grip (Pulsar-Bajaj)</t>
  </si>
  <si>
    <t>300/400</t>
  </si>
  <si>
    <t>Wholesale Price/set</t>
  </si>
  <si>
    <t>Retail Price /set</t>
  </si>
  <si>
    <t>Raider</t>
  </si>
  <si>
    <t>Grazzia 'B'</t>
  </si>
  <si>
    <t>NTRQ BS6</t>
  </si>
  <si>
    <t>Items</t>
  </si>
  <si>
    <t>Rocket Raincoat (Small Size)</t>
  </si>
  <si>
    <t>130/150</t>
  </si>
  <si>
    <t>Thunder Raincoat (Middle Size)</t>
  </si>
  <si>
    <t>220/240</t>
  </si>
  <si>
    <t>Eva Raincoat (Large Size)</t>
  </si>
  <si>
    <t>320/350</t>
  </si>
  <si>
    <t>Ray (Blue)</t>
  </si>
  <si>
    <t>Dio NM/HET (Blue)</t>
  </si>
  <si>
    <t>Uni/Sup/Spl (Varroc)</t>
  </si>
  <si>
    <t>Brake Pipe (Pulsar 220-Front) "75 cm"</t>
  </si>
  <si>
    <t>680/800</t>
  </si>
  <si>
    <t>Brake Pipe (Pulsar 220-Front) "85 cm"</t>
  </si>
  <si>
    <t>780/1000</t>
  </si>
  <si>
    <t>Shock Bush (Pulsar)</t>
  </si>
  <si>
    <t>35/45</t>
  </si>
  <si>
    <t>Pulsar 150 (UR-THA)</t>
  </si>
  <si>
    <t>Gixxer (UR-THA)</t>
  </si>
  <si>
    <t>FZ/RTR (UR-THA)</t>
  </si>
  <si>
    <t>Hornet (UR-THA)</t>
  </si>
  <si>
    <t>Dio NM (BS6)</t>
  </si>
  <si>
    <t>100/130</t>
  </si>
  <si>
    <t>Pulsar/220/NS-200 (Rear- Superjit)</t>
  </si>
  <si>
    <t>RTR/Uni</t>
  </si>
  <si>
    <t>Gixxer (HYB)</t>
  </si>
  <si>
    <t xml:space="preserve">Pul (7609k Minda) </t>
  </si>
  <si>
    <t>Rear Brakee Switch (FZ)</t>
  </si>
  <si>
    <t xml:space="preserve">Dio old </t>
  </si>
  <si>
    <t>Pulsar 150/220 OM (36DK0015)</t>
  </si>
  <si>
    <t>Grazzia(OM- BS4)</t>
  </si>
  <si>
    <t>Grazzia (BS-6)/ Dio NM (BS-6)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</si>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</sst>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2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indent="1"/>
    </xf>
    <xf numFmtId="4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quotePrefix="1"/>
    <xf numFmtId="0" fontId="1" fillId="0" borderId="0" xfId="0" quotePrefix="1" applyFont="1"/>
    <xf numFmtId="0" fontId="1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8" fillId="0" borderId="0" xfId="1" applyAlignment="1">
      <alignment horizontal="center"/>
    </xf>
    <xf numFmtId="0" fontId="0" fillId="0" borderId="0" xfId="0" applyAlignment="1">
      <alignment horizontal="center"/>
    </xf>
    <xf numFmtId="0" fontId="15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9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46B8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Choke Cable-Clutch Yoke'!A1"/><Relationship Id="rId18" Type="http://schemas.openxmlformats.org/officeDocument/2006/relationships/hyperlink" Target="#'Disc Caliber'!A1"/><Relationship Id="rId26" Type="http://schemas.openxmlformats.org/officeDocument/2006/relationships/hyperlink" Target="#'Ingnation Swtich-Switch set'!A1"/><Relationship Id="rId39" Type="http://schemas.openxmlformats.org/officeDocument/2006/relationships/hyperlink" Target="#'Rear Axel'!A1"/><Relationship Id="rId21" Type="http://schemas.openxmlformats.org/officeDocument/2006/relationships/hyperlink" Target="#'Front Spocket'!A1"/><Relationship Id="rId34" Type="http://schemas.openxmlformats.org/officeDocument/2006/relationships/hyperlink" Target="#'Oil Seal'!A1"/><Relationship Id="rId42" Type="http://schemas.openxmlformats.org/officeDocument/2006/relationships/hyperlink" Target="#'Side Stand'!A1"/><Relationship Id="rId47" Type="http://schemas.openxmlformats.org/officeDocument/2006/relationships/hyperlink" Target="#'Seat Cover'!A1"/><Relationship Id="rId50" Type="http://schemas.openxmlformats.org/officeDocument/2006/relationships/hyperlink" Target="#'Tanky Cap'!A1"/><Relationship Id="rId55" Type="http://schemas.openxmlformats.org/officeDocument/2006/relationships/hyperlink" Target="#'Clutch Shoe-Chain exhauster'!A1"/><Relationship Id="rId7" Type="http://schemas.openxmlformats.org/officeDocument/2006/relationships/hyperlink" Target="#'Brake Paddle-Brake Rod'!A1"/><Relationship Id="rId2" Type="http://schemas.openxmlformats.org/officeDocument/2006/relationships/hyperlink" Target="#'Air Filter'!A1"/><Relationship Id="rId16" Type="http://schemas.openxmlformats.org/officeDocument/2006/relationships/hyperlink" Target="#'Drum Rubber'!A1"/><Relationship Id="rId29" Type="http://schemas.openxmlformats.org/officeDocument/2006/relationships/hyperlink" Target="#Mirror!A1"/><Relationship Id="rId11" Type="http://schemas.openxmlformats.org/officeDocument/2006/relationships/hyperlink" Target="#'Clutch Cable '!A1"/><Relationship Id="rId24" Type="http://schemas.openxmlformats.org/officeDocument/2006/relationships/hyperlink" Target="#'Head Show-Head Light Assemble'!A1"/><Relationship Id="rId32" Type="http://schemas.openxmlformats.org/officeDocument/2006/relationships/hyperlink" Target="#Mobil!A1"/><Relationship Id="rId37" Type="http://schemas.openxmlformats.org/officeDocument/2006/relationships/hyperlink" Target="#Rektifire!A1"/><Relationship Id="rId40" Type="http://schemas.openxmlformats.org/officeDocument/2006/relationships/hyperlink" Target="#'Self-Carbon'!A1"/><Relationship Id="rId45" Type="http://schemas.openxmlformats.org/officeDocument/2006/relationships/hyperlink" Target="#'Suspention Bush'!A1"/><Relationship Id="rId53" Type="http://schemas.openxmlformats.org/officeDocument/2006/relationships/hyperlink" Target="#Helmet!A1"/><Relationship Id="rId58" Type="http://schemas.openxmlformats.org/officeDocument/2006/relationships/hyperlink" Target="#Chainkit!A1"/><Relationship Id="rId5" Type="http://schemas.openxmlformats.org/officeDocument/2006/relationships/hyperlink" Target="#'Brake Pad-Disk Pad'!A1"/><Relationship Id="rId19" Type="http://schemas.openxmlformats.org/officeDocument/2006/relationships/hyperlink" Target="#'Dipper Switch'!A1"/><Relationship Id="rId4" Type="http://schemas.openxmlformats.org/officeDocument/2006/relationships/hyperlink" Target="#'Brake Shoe '!A1"/><Relationship Id="rId9" Type="http://schemas.openxmlformats.org/officeDocument/2006/relationships/hyperlink" Target="#'Came Chain-Came Chain exchauste'!A1"/><Relationship Id="rId14" Type="http://schemas.openxmlformats.org/officeDocument/2006/relationships/hyperlink" Target="#'Clucth Switch-C.D.I'!A1"/><Relationship Id="rId22" Type="http://schemas.openxmlformats.org/officeDocument/2006/relationships/hyperlink" Target="#'Fine Belt '!A1"/><Relationship Id="rId27" Type="http://schemas.openxmlformats.org/officeDocument/2006/relationships/hyperlink" Target="#'Kick Lever'!A1"/><Relationship Id="rId30" Type="http://schemas.openxmlformats.org/officeDocument/2006/relationships/hyperlink" Target="#'Front+Rear Master Cylinder'!A1"/><Relationship Id="rId35" Type="http://schemas.openxmlformats.org/officeDocument/2006/relationships/hyperlink" Target="#'Plug-Plug Cap'!A1"/><Relationship Id="rId43" Type="http://schemas.openxmlformats.org/officeDocument/2006/relationships/hyperlink" Target="#'Speedo Meter Cable '!A1"/><Relationship Id="rId48" Type="http://schemas.openxmlformats.org/officeDocument/2006/relationships/hyperlink" Target="#'Top '!A1"/><Relationship Id="rId56" Type="http://schemas.openxmlformats.org/officeDocument/2006/relationships/hyperlink" Target="#Others!A1"/><Relationship Id="rId8" Type="http://schemas.openxmlformats.org/officeDocument/2006/relationships/hyperlink" Target="#'Clutch Plate'!A1"/><Relationship Id="rId51" Type="http://schemas.openxmlformats.org/officeDocument/2006/relationships/hyperlink" Target="#'Timing Pad'!A1"/><Relationship Id="rId3" Type="http://schemas.openxmlformats.org/officeDocument/2006/relationships/hyperlink" Target="#'Bearing '!A1"/><Relationship Id="rId12" Type="http://schemas.openxmlformats.org/officeDocument/2006/relationships/hyperlink" Target="#Carburator!A1"/><Relationship Id="rId17" Type="http://schemas.openxmlformats.org/officeDocument/2006/relationships/hyperlink" Target="#'Disc Plate'!A1"/><Relationship Id="rId25" Type="http://schemas.openxmlformats.org/officeDocument/2006/relationships/hyperlink" Target="#'Half-Excel'!A1"/><Relationship Id="rId33" Type="http://schemas.openxmlformats.org/officeDocument/2006/relationships/hyperlink" Target="#'One Way Bearing '!A1"/><Relationship Id="rId38" Type="http://schemas.openxmlformats.org/officeDocument/2006/relationships/hyperlink" Target="#Rocker!A1"/><Relationship Id="rId46" Type="http://schemas.openxmlformats.org/officeDocument/2006/relationships/hyperlink" Target="#'Self-Cutout- Relay'!A1"/><Relationship Id="rId20" Type="http://schemas.openxmlformats.org/officeDocument/2006/relationships/hyperlink" Target="#' Footrest'!A1"/><Relationship Id="rId41" Type="http://schemas.openxmlformats.org/officeDocument/2006/relationships/hyperlink" Target="#'Side Light'!A1"/><Relationship Id="rId54" Type="http://schemas.openxmlformats.org/officeDocument/2006/relationships/hyperlink" Target="#'Weigh-Roller'!A1"/><Relationship Id="rId1" Type="http://schemas.openxmlformats.org/officeDocument/2006/relationships/hyperlink" Target="#'Acc Cable '!A1"/><Relationship Id="rId6" Type="http://schemas.openxmlformats.org/officeDocument/2006/relationships/hyperlink" Target="#'Brake Cable-BrakeYoke '!A1"/><Relationship Id="rId15" Type="http://schemas.openxmlformats.org/officeDocument/2006/relationships/hyperlink" Target="#'Daya form'!A1"/><Relationship Id="rId23" Type="http://schemas.openxmlformats.org/officeDocument/2006/relationships/hyperlink" Target="#'Gear Lever-Gear  Sharf'!A1"/><Relationship Id="rId28" Type="http://schemas.openxmlformats.org/officeDocument/2006/relationships/hyperlink" Target="#'Lever Set '!A1"/><Relationship Id="rId36" Type="http://schemas.openxmlformats.org/officeDocument/2006/relationships/hyperlink" Target="#'Petrol Tap'!A1"/><Relationship Id="rId49" Type="http://schemas.openxmlformats.org/officeDocument/2006/relationships/hyperlink" Target="#Tube!A1"/><Relationship Id="rId57" Type="http://schemas.openxmlformats.org/officeDocument/2006/relationships/hyperlink" Target="#'Shock Spring'!A1"/><Relationship Id="rId10" Type="http://schemas.openxmlformats.org/officeDocument/2006/relationships/hyperlink" Target="#'Cone Bearing '!A1"/><Relationship Id="rId31" Type="http://schemas.openxmlformats.org/officeDocument/2006/relationships/hyperlink" Target="#'Male-Female; Male-Female Assemb'!A1"/><Relationship Id="rId44" Type="http://schemas.openxmlformats.org/officeDocument/2006/relationships/hyperlink" Target="#'Shock Rod '!A1"/><Relationship Id="rId52" Type="http://schemas.openxmlformats.org/officeDocument/2006/relationships/hyperlink" Target="#Tyre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157842</xdr:rowOff>
    </xdr:from>
    <xdr:to>
      <xdr:col>3</xdr:col>
      <xdr:colOff>495300</xdr:colOff>
      <xdr:row>8</xdr:row>
      <xdr:rowOff>72117</xdr:rowOff>
    </xdr:to>
    <xdr:sp macro="" textlink="">
      <xdr:nvSpPr>
        <xdr:cNvPr id="9" name="Rounded 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0" y="783771"/>
          <a:ext cx="2332264" cy="676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Acc</a:t>
          </a:r>
          <a:r>
            <a:rPr lang="en-US" sz="2000" b="1" i="1" baseline="0">
              <a:solidFill>
                <a:schemeClr val="tx1"/>
              </a:solidFill>
            </a:rPr>
            <a:t> </a:t>
          </a:r>
          <a:r>
            <a:rPr lang="en-US" sz="2000" b="1" i="1" baseline="0">
              <a:ln>
                <a:noFill/>
              </a:ln>
              <a:solidFill>
                <a:schemeClr val="tx1"/>
              </a:solidFill>
            </a:rPr>
            <a:t>Cable</a:t>
          </a:r>
          <a:r>
            <a:rPr lang="en-US" sz="2000" b="1" i="1" baseline="0">
              <a:solidFill>
                <a:schemeClr val="tx1"/>
              </a:solidFill>
            </a:rPr>
            <a:t>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566057</xdr:colOff>
      <xdr:row>4</xdr:row>
      <xdr:rowOff>175532</xdr:rowOff>
    </xdr:from>
    <xdr:to>
      <xdr:col>7</xdr:col>
      <xdr:colOff>451757</xdr:colOff>
      <xdr:row>8</xdr:row>
      <xdr:rowOff>89807</xdr:rowOff>
    </xdr:to>
    <xdr:sp macro="" textlink="">
      <xdr:nvSpPr>
        <xdr:cNvPr id="13" name="Rounded Rectangl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403021" y="801461"/>
          <a:ext cx="2334986" cy="676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Air</a:t>
          </a:r>
          <a:r>
            <a:rPr lang="en-US" sz="2000" b="1" i="1" baseline="0">
              <a:solidFill>
                <a:schemeClr val="tx1"/>
              </a:solidFill>
            </a:rPr>
            <a:t> Filter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557892</xdr:colOff>
      <xdr:row>4</xdr:row>
      <xdr:rowOff>175532</xdr:rowOff>
    </xdr:from>
    <xdr:to>
      <xdr:col>11</xdr:col>
      <xdr:colOff>440870</xdr:colOff>
      <xdr:row>8</xdr:row>
      <xdr:rowOff>89807</xdr:rowOff>
    </xdr:to>
    <xdr:sp macro="" textlink="">
      <xdr:nvSpPr>
        <xdr:cNvPr id="14" name="Rounded Rectangle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4844142" y="801461"/>
          <a:ext cx="2332264" cy="676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Bearing</a:t>
          </a:r>
          <a:r>
            <a:rPr lang="en-US" sz="2000" b="1" i="1" baseline="0">
              <a:solidFill>
                <a:schemeClr val="tx1"/>
              </a:solidFill>
            </a:rPr>
            <a:t>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511628</xdr:colOff>
      <xdr:row>4</xdr:row>
      <xdr:rowOff>140154</xdr:rowOff>
    </xdr:from>
    <xdr:to>
      <xdr:col>15</xdr:col>
      <xdr:colOff>397329</xdr:colOff>
      <xdr:row>8</xdr:row>
      <xdr:rowOff>54429</xdr:rowOff>
    </xdr:to>
    <xdr:sp macro="" textlink="">
      <xdr:nvSpPr>
        <xdr:cNvPr id="15" name="Rounded Rectangle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247164" y="766083"/>
          <a:ext cx="2334986" cy="676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 baseline="0">
              <a:solidFill>
                <a:schemeClr val="tx1"/>
              </a:solidFill>
            </a:rPr>
            <a:t>Brake Shoe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485775</xdr:colOff>
      <xdr:row>4</xdr:row>
      <xdr:rowOff>131989</xdr:rowOff>
    </xdr:from>
    <xdr:to>
      <xdr:col>19</xdr:col>
      <xdr:colOff>371475</xdr:colOff>
      <xdr:row>8</xdr:row>
      <xdr:rowOff>46264</xdr:rowOff>
    </xdr:to>
    <xdr:sp macro="" textlink="">
      <xdr:nvSpPr>
        <xdr:cNvPr id="16" name="Rounded Rectangle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9670596" y="757918"/>
          <a:ext cx="2334986" cy="676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Brake</a:t>
          </a:r>
          <a:r>
            <a:rPr lang="en-US" sz="2000" b="1" i="1" baseline="0">
              <a:solidFill>
                <a:schemeClr val="tx1"/>
              </a:solidFill>
            </a:rPr>
            <a:t> Pad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462643</xdr:colOff>
      <xdr:row>4</xdr:row>
      <xdr:rowOff>63954</xdr:rowOff>
    </xdr:from>
    <xdr:to>
      <xdr:col>23</xdr:col>
      <xdr:colOff>348343</xdr:colOff>
      <xdr:row>8</xdr:row>
      <xdr:rowOff>108857</xdr:rowOff>
    </xdr:to>
    <xdr:sp macro="" textlink="">
      <xdr:nvSpPr>
        <xdr:cNvPr id="18" name="Rounded Rectangle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2096750" y="689883"/>
          <a:ext cx="2334986" cy="80690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Brake</a:t>
          </a:r>
          <a:r>
            <a:rPr lang="en-US" sz="2000" b="1" i="1" baseline="0">
              <a:solidFill>
                <a:schemeClr val="tx1"/>
              </a:solidFill>
            </a:rPr>
            <a:t> Cable/Brake Yoke/ Brake Switch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491218</xdr:colOff>
      <xdr:row>4</xdr:row>
      <xdr:rowOff>104775</xdr:rowOff>
    </xdr:from>
    <xdr:to>
      <xdr:col>28</xdr:col>
      <xdr:colOff>530678</xdr:colOff>
      <xdr:row>8</xdr:row>
      <xdr:rowOff>19050</xdr:rowOff>
    </xdr:to>
    <xdr:sp macro="" textlink="">
      <xdr:nvSpPr>
        <xdr:cNvPr id="19" name="Rounded Rectangle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4574611" y="730704"/>
          <a:ext cx="3101067" cy="676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Brake</a:t>
          </a:r>
          <a:r>
            <a:rPr lang="en-US" sz="2000" b="1" i="1" baseline="0">
              <a:solidFill>
                <a:schemeClr val="tx1"/>
              </a:solidFill>
            </a:rPr>
            <a:t> Paddle/ Brake Rod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182335</xdr:rowOff>
    </xdr:from>
    <xdr:to>
      <xdr:col>3</xdr:col>
      <xdr:colOff>498022</xdr:colOff>
      <xdr:row>13</xdr:row>
      <xdr:rowOff>27213</xdr:rowOff>
    </xdr:to>
    <xdr:sp macro="" textlink="">
      <xdr:nvSpPr>
        <xdr:cNvPr id="21" name="Rounded Rectangle 2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1570264"/>
          <a:ext cx="2334986" cy="79737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Clutch</a:t>
          </a:r>
          <a:r>
            <a:rPr lang="en-US" sz="2000" b="1" i="1" baseline="0">
              <a:solidFill>
                <a:schemeClr val="tx1"/>
              </a:solidFill>
            </a:rPr>
            <a:t> Plate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548368</xdr:colOff>
      <xdr:row>8</xdr:row>
      <xdr:rowOff>164646</xdr:rowOff>
    </xdr:from>
    <xdr:to>
      <xdr:col>11</xdr:col>
      <xdr:colOff>434068</xdr:colOff>
      <xdr:row>13</xdr:row>
      <xdr:rowOff>27214</xdr:rowOff>
    </xdr:to>
    <xdr:sp macro="" textlink="">
      <xdr:nvSpPr>
        <xdr:cNvPr id="22" name="Rounded Rectangle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834618" y="1552575"/>
          <a:ext cx="2334986" cy="81506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Came</a:t>
          </a:r>
          <a:r>
            <a:rPr lang="en-US" sz="2000" b="1" i="1" baseline="0">
              <a:solidFill>
                <a:schemeClr val="tx1"/>
              </a:solidFill>
            </a:rPr>
            <a:t> Chain/Came Chain exchauster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504825</xdr:colOff>
      <xdr:row>9</xdr:row>
      <xdr:rowOff>28574</xdr:rowOff>
    </xdr:from>
    <xdr:to>
      <xdr:col>15</xdr:col>
      <xdr:colOff>390525</xdr:colOff>
      <xdr:row>12</xdr:row>
      <xdr:rowOff>133349</xdr:rowOff>
    </xdr:to>
    <xdr:sp macro="" textlink="">
      <xdr:nvSpPr>
        <xdr:cNvPr id="23" name="Rounded Rectangle 2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7240361" y="1607003"/>
          <a:ext cx="2334985" cy="676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Cone</a:t>
          </a:r>
          <a:r>
            <a:rPr lang="en-US" sz="2000" b="1" i="1" baseline="0">
              <a:solidFill>
                <a:schemeClr val="tx1"/>
              </a:solidFill>
            </a:rPr>
            <a:t> Bearing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402771</xdr:colOff>
      <xdr:row>8</xdr:row>
      <xdr:rowOff>156483</xdr:rowOff>
    </xdr:from>
    <xdr:to>
      <xdr:col>23</xdr:col>
      <xdr:colOff>288471</xdr:colOff>
      <xdr:row>12</xdr:row>
      <xdr:rowOff>70758</xdr:rowOff>
    </xdr:to>
    <xdr:sp macro="" textlink="">
      <xdr:nvSpPr>
        <xdr:cNvPr id="24" name="Rounded Rectangle 2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2036878" y="1544412"/>
          <a:ext cx="2334986" cy="676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Clutch</a:t>
          </a:r>
          <a:r>
            <a:rPr lang="en-US" sz="2000" b="1" i="1" baseline="0">
              <a:solidFill>
                <a:schemeClr val="tx1"/>
              </a:solidFill>
            </a:rPr>
            <a:t> Cable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462644</xdr:colOff>
      <xdr:row>8</xdr:row>
      <xdr:rowOff>189140</xdr:rowOff>
    </xdr:from>
    <xdr:to>
      <xdr:col>19</xdr:col>
      <xdr:colOff>348344</xdr:colOff>
      <xdr:row>12</xdr:row>
      <xdr:rowOff>103415</xdr:rowOff>
    </xdr:to>
    <xdr:sp macro="" textlink="">
      <xdr:nvSpPr>
        <xdr:cNvPr id="25" name="Rounded Rectangle 2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9647465" y="1577069"/>
          <a:ext cx="2334986" cy="6762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Carburator </a:t>
          </a:r>
        </a:p>
      </xdr:txBody>
    </xdr:sp>
    <xdr:clientData/>
  </xdr:twoCellAnchor>
  <xdr:twoCellAnchor>
    <xdr:from>
      <xdr:col>0</xdr:col>
      <xdr:colOff>40821</xdr:colOff>
      <xdr:row>13</xdr:row>
      <xdr:rowOff>122466</xdr:rowOff>
    </xdr:from>
    <xdr:to>
      <xdr:col>3</xdr:col>
      <xdr:colOff>536121</xdr:colOff>
      <xdr:row>18</xdr:row>
      <xdr:rowOff>14432</xdr:rowOff>
    </xdr:to>
    <xdr:sp macro="" textlink="">
      <xdr:nvSpPr>
        <xdr:cNvPr id="26" name="Rounded Rectangle 2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40821" y="2518148"/>
          <a:ext cx="2313709" cy="83003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Choke</a:t>
          </a:r>
          <a:r>
            <a:rPr lang="en-US" sz="2000" b="1" i="1" baseline="0">
              <a:solidFill>
                <a:schemeClr val="tx1"/>
              </a:solidFill>
            </a:rPr>
            <a:t> Cable/Clutch Yoke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408215</xdr:colOff>
      <xdr:row>8</xdr:row>
      <xdr:rowOff>96610</xdr:rowOff>
    </xdr:from>
    <xdr:to>
      <xdr:col>27</xdr:col>
      <xdr:colOff>97971</xdr:colOff>
      <xdr:row>13</xdr:row>
      <xdr:rowOff>-1</xdr:rowOff>
    </xdr:to>
    <xdr:sp macro="" textlink="">
      <xdr:nvSpPr>
        <xdr:cNvPr id="27" name="Rounded Rectangle 2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4491608" y="1484539"/>
          <a:ext cx="2139042" cy="85588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C.D.I/Clutch</a:t>
          </a:r>
          <a:r>
            <a:rPr lang="en-US" sz="2000" b="1" i="1" baseline="0">
              <a:solidFill>
                <a:schemeClr val="tx1"/>
              </a:solidFill>
            </a:rPr>
            <a:t> Switch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530678</xdr:colOff>
      <xdr:row>13</xdr:row>
      <xdr:rowOff>142876</xdr:rowOff>
    </xdr:from>
    <xdr:to>
      <xdr:col>10</xdr:col>
      <xdr:colOff>416379</xdr:colOff>
      <xdr:row>17</xdr:row>
      <xdr:rowOff>108858</xdr:rowOff>
    </xdr:to>
    <xdr:sp macro="" textlink="">
      <xdr:nvSpPr>
        <xdr:cNvPr id="28" name="Rounded Rectangle 2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4204607" y="2483305"/>
          <a:ext cx="2334986" cy="72798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Daya Form</a:t>
          </a:r>
        </a:p>
      </xdr:txBody>
    </xdr:sp>
    <xdr:clientData/>
  </xdr:twoCellAnchor>
  <xdr:twoCellAnchor>
    <xdr:from>
      <xdr:col>3</xdr:col>
      <xdr:colOff>598715</xdr:colOff>
      <xdr:row>13</xdr:row>
      <xdr:rowOff>108858</xdr:rowOff>
    </xdr:from>
    <xdr:to>
      <xdr:col>6</xdr:col>
      <xdr:colOff>465364</xdr:colOff>
      <xdr:row>17</xdr:row>
      <xdr:rowOff>163287</xdr:rowOff>
    </xdr:to>
    <xdr:sp macro="" textlink="">
      <xdr:nvSpPr>
        <xdr:cNvPr id="4" name="Rounded Rectangle 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435679" y="2449287"/>
          <a:ext cx="1703614" cy="8164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Drum Rubber </a:t>
          </a:r>
        </a:p>
      </xdr:txBody>
    </xdr:sp>
    <xdr:clientData/>
  </xdr:twoCellAnchor>
  <xdr:twoCellAnchor>
    <xdr:from>
      <xdr:col>10</xdr:col>
      <xdr:colOff>488094</xdr:colOff>
      <xdr:row>13</xdr:row>
      <xdr:rowOff>143658</xdr:rowOff>
    </xdr:from>
    <xdr:to>
      <xdr:col>14</xdr:col>
      <xdr:colOff>316643</xdr:colOff>
      <xdr:row>17</xdr:row>
      <xdr:rowOff>149677</xdr:rowOff>
    </xdr:to>
    <xdr:sp macro="" textlink="">
      <xdr:nvSpPr>
        <xdr:cNvPr id="30" name="Rounded Rectangle 2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611308" y="2484087"/>
          <a:ext cx="2277835" cy="76801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Disc</a:t>
          </a:r>
          <a:r>
            <a:rPr lang="en-US" sz="2000" b="1" i="1" baseline="0">
              <a:solidFill>
                <a:schemeClr val="tx1"/>
              </a:solidFill>
            </a:rPr>
            <a:t> Plate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476250</xdr:colOff>
      <xdr:row>13</xdr:row>
      <xdr:rowOff>117212</xdr:rowOff>
    </xdr:from>
    <xdr:to>
      <xdr:col>18</xdr:col>
      <xdr:colOff>296174</xdr:colOff>
      <xdr:row>17</xdr:row>
      <xdr:rowOff>108857</xdr:rowOff>
    </xdr:to>
    <xdr:sp macro="" textlink="">
      <xdr:nvSpPr>
        <xdr:cNvPr id="31" name="Rounded Rectangle 3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9048750" y="2457641"/>
          <a:ext cx="2269210" cy="75364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Disc</a:t>
          </a:r>
          <a:r>
            <a:rPr lang="en-US" sz="2000" b="1" i="1" baseline="0">
              <a:solidFill>
                <a:schemeClr val="tx1"/>
              </a:solidFill>
            </a:rPr>
            <a:t> Caliber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355663</xdr:colOff>
      <xdr:row>13</xdr:row>
      <xdr:rowOff>81642</xdr:rowOff>
    </xdr:from>
    <xdr:to>
      <xdr:col>22</xdr:col>
      <xdr:colOff>175589</xdr:colOff>
      <xdr:row>17</xdr:row>
      <xdr:rowOff>68035</xdr:rowOff>
    </xdr:to>
    <xdr:sp macro="" textlink="">
      <xdr:nvSpPr>
        <xdr:cNvPr id="32" name="Rounded Rectangle 3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1377449" y="2422071"/>
          <a:ext cx="2269211" cy="748393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Dipper</a:t>
          </a:r>
          <a:r>
            <a:rPr lang="en-US" sz="2000" b="1" i="1" baseline="0">
              <a:solidFill>
                <a:schemeClr val="tx1"/>
              </a:solidFill>
            </a:rPr>
            <a:t> Switch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244931</xdr:colOff>
      <xdr:row>13</xdr:row>
      <xdr:rowOff>76199</xdr:rowOff>
    </xdr:from>
    <xdr:to>
      <xdr:col>26</xdr:col>
      <xdr:colOff>136304</xdr:colOff>
      <xdr:row>17</xdr:row>
      <xdr:rowOff>122465</xdr:rowOff>
    </xdr:to>
    <xdr:sp macro="" textlink="">
      <xdr:nvSpPr>
        <xdr:cNvPr id="33" name="Rounded Rectangle 3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3716002" y="2416628"/>
          <a:ext cx="2340659" cy="80826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Footrest</a:t>
          </a:r>
        </a:p>
      </xdr:txBody>
    </xdr:sp>
    <xdr:clientData/>
  </xdr:twoCellAnchor>
  <xdr:twoCellAnchor>
    <xdr:from>
      <xdr:col>0</xdr:col>
      <xdr:colOff>0</xdr:colOff>
      <xdr:row>18</xdr:row>
      <xdr:rowOff>89421</xdr:rowOff>
    </xdr:from>
    <xdr:to>
      <xdr:col>3</xdr:col>
      <xdr:colOff>440870</xdr:colOff>
      <xdr:row>22</xdr:row>
      <xdr:rowOff>136070</xdr:rowOff>
    </xdr:to>
    <xdr:sp macro="" textlink="">
      <xdr:nvSpPr>
        <xdr:cNvPr id="34" name="Rounded Rectangle 33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0" y="3382350"/>
          <a:ext cx="2277834" cy="808649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Front Spocket</a:t>
          </a:r>
        </a:p>
      </xdr:txBody>
    </xdr:sp>
    <xdr:clientData/>
  </xdr:twoCellAnchor>
  <xdr:twoCellAnchor>
    <xdr:from>
      <xdr:col>3</xdr:col>
      <xdr:colOff>501319</xdr:colOff>
      <xdr:row>18</xdr:row>
      <xdr:rowOff>143851</xdr:rowOff>
    </xdr:from>
    <xdr:to>
      <xdr:col>7</xdr:col>
      <xdr:colOff>329869</xdr:colOff>
      <xdr:row>23</xdr:row>
      <xdr:rowOff>13607</xdr:rowOff>
    </xdr:to>
    <xdr:sp macro="" textlink="">
      <xdr:nvSpPr>
        <xdr:cNvPr id="35" name="Rounded Rectangle 3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2338283" y="3436780"/>
          <a:ext cx="2277836" cy="82225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Fine Belt</a:t>
          </a:r>
        </a:p>
      </xdr:txBody>
    </xdr:sp>
    <xdr:clientData/>
  </xdr:twoCellAnchor>
  <xdr:twoCellAnchor>
    <xdr:from>
      <xdr:col>7</xdr:col>
      <xdr:colOff>489817</xdr:colOff>
      <xdr:row>18</xdr:row>
      <xdr:rowOff>130820</xdr:rowOff>
    </xdr:from>
    <xdr:to>
      <xdr:col>11</xdr:col>
      <xdr:colOff>309741</xdr:colOff>
      <xdr:row>22</xdr:row>
      <xdr:rowOff>163286</xdr:rowOff>
    </xdr:to>
    <xdr:sp macro="" textlink="">
      <xdr:nvSpPr>
        <xdr:cNvPr id="37" name="Rounded Rectangle 3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4776067" y="3423749"/>
          <a:ext cx="2269210" cy="79446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Gear Lever/</a:t>
          </a:r>
          <a:r>
            <a:rPr lang="en-US" sz="2000" b="1" baseline="0">
              <a:solidFill>
                <a:schemeClr val="tx1"/>
              </a:solidFill>
            </a:rPr>
            <a:t>Gear Sharf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380961</xdr:colOff>
      <xdr:row>18</xdr:row>
      <xdr:rowOff>144428</xdr:rowOff>
    </xdr:from>
    <xdr:to>
      <xdr:col>15</xdr:col>
      <xdr:colOff>200886</xdr:colOff>
      <xdr:row>23</xdr:row>
      <xdr:rowOff>13608</xdr:rowOff>
    </xdr:to>
    <xdr:sp macro="" textlink="">
      <xdr:nvSpPr>
        <xdr:cNvPr id="43" name="Rounded Rectangle 42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7116497" y="3437357"/>
          <a:ext cx="2269210" cy="8216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Head Show/Head</a:t>
          </a:r>
          <a:r>
            <a:rPr lang="en-US" sz="2000" b="1" i="1" baseline="0">
              <a:solidFill>
                <a:schemeClr val="tx1"/>
              </a:solidFill>
            </a:rPr>
            <a:t> Light Asemble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299358</xdr:colOff>
      <xdr:row>18</xdr:row>
      <xdr:rowOff>163285</xdr:rowOff>
    </xdr:from>
    <xdr:to>
      <xdr:col>19</xdr:col>
      <xdr:colOff>182336</xdr:colOff>
      <xdr:row>22</xdr:row>
      <xdr:rowOff>77560</xdr:rowOff>
    </xdr:to>
    <xdr:sp macro="" textlink="">
      <xdr:nvSpPr>
        <xdr:cNvPr id="45" name="Rounded Rectangle 4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484179" y="3456214"/>
          <a:ext cx="2332264" cy="676275"/>
        </a:xfrm>
        <a:prstGeom prst="roundRect">
          <a:avLst>
            <a:gd name="adj" fmla="val 2270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Half</a:t>
          </a:r>
          <a:r>
            <a:rPr lang="en-US" sz="2000" b="1" i="1" baseline="0">
              <a:solidFill>
                <a:schemeClr val="tx1"/>
              </a:solidFill>
            </a:rPr>
            <a:t> Axel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258537</xdr:colOff>
      <xdr:row>18</xdr:row>
      <xdr:rowOff>95251</xdr:rowOff>
    </xdr:from>
    <xdr:to>
      <xdr:col>23</xdr:col>
      <xdr:colOff>141515</xdr:colOff>
      <xdr:row>22</xdr:row>
      <xdr:rowOff>176894</xdr:rowOff>
    </xdr:to>
    <xdr:sp macro="" textlink="">
      <xdr:nvSpPr>
        <xdr:cNvPr id="46" name="Rounded Rectangle 45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1892644" y="3388180"/>
          <a:ext cx="2332264" cy="84364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 baseline="0">
              <a:solidFill>
                <a:schemeClr val="tx1"/>
              </a:solidFill>
            </a:rPr>
            <a:t>Ignation Switch+ Set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204108</xdr:colOff>
      <xdr:row>18</xdr:row>
      <xdr:rowOff>68037</xdr:rowOff>
    </xdr:from>
    <xdr:to>
      <xdr:col>27</xdr:col>
      <xdr:colOff>87086</xdr:colOff>
      <xdr:row>22</xdr:row>
      <xdr:rowOff>149680</xdr:rowOff>
    </xdr:to>
    <xdr:sp macro="" textlink="">
      <xdr:nvSpPr>
        <xdr:cNvPr id="47" name="Rounded Rectangle 4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4287501" y="3360966"/>
          <a:ext cx="2332264" cy="84364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Kick</a:t>
          </a:r>
          <a:r>
            <a:rPr lang="en-US" sz="2000" b="1" i="1" baseline="0">
              <a:solidFill>
                <a:schemeClr val="tx1"/>
              </a:solidFill>
            </a:rPr>
            <a:t> Lever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23</xdr:row>
      <xdr:rowOff>136072</xdr:rowOff>
    </xdr:from>
    <xdr:to>
      <xdr:col>3</xdr:col>
      <xdr:colOff>367394</xdr:colOff>
      <xdr:row>28</xdr:row>
      <xdr:rowOff>40822</xdr:rowOff>
    </xdr:to>
    <xdr:sp macro="" textlink="">
      <xdr:nvSpPr>
        <xdr:cNvPr id="48" name="Rounded Rectangle 47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0" y="4381501"/>
          <a:ext cx="2204358" cy="857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Lever</a:t>
          </a:r>
          <a:r>
            <a:rPr lang="en-US" sz="2000" b="1" i="1" baseline="0">
              <a:solidFill>
                <a:schemeClr val="tx1"/>
              </a:solidFill>
            </a:rPr>
            <a:t> Set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503465</xdr:colOff>
      <xdr:row>23</xdr:row>
      <xdr:rowOff>163286</xdr:rowOff>
    </xdr:from>
    <xdr:to>
      <xdr:col>7</xdr:col>
      <xdr:colOff>40821</xdr:colOff>
      <xdr:row>28</xdr:row>
      <xdr:rowOff>68035</xdr:rowOff>
    </xdr:to>
    <xdr:sp macro="" textlink="">
      <xdr:nvSpPr>
        <xdr:cNvPr id="49" name="Rounded Rectangle 48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2340429" y="4408715"/>
          <a:ext cx="1986642" cy="85724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Mirror</a:t>
          </a:r>
        </a:p>
      </xdr:txBody>
    </xdr:sp>
    <xdr:clientData/>
  </xdr:twoCellAnchor>
  <xdr:twoCellAnchor>
    <xdr:from>
      <xdr:col>7</xdr:col>
      <xdr:colOff>190501</xdr:colOff>
      <xdr:row>23</xdr:row>
      <xdr:rowOff>163286</xdr:rowOff>
    </xdr:from>
    <xdr:to>
      <xdr:col>11</xdr:col>
      <xdr:colOff>73479</xdr:colOff>
      <xdr:row>28</xdr:row>
      <xdr:rowOff>68035</xdr:rowOff>
    </xdr:to>
    <xdr:sp macro="" textlink="">
      <xdr:nvSpPr>
        <xdr:cNvPr id="36" name="Rounded Rectangle 35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4476751" y="4408715"/>
          <a:ext cx="2332264" cy="857249"/>
        </a:xfrm>
        <a:prstGeom prst="roundRect">
          <a:avLst>
            <a:gd name="adj" fmla="val 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Front+Rear</a:t>
          </a:r>
          <a:r>
            <a:rPr lang="en-US" sz="2000" b="1" i="1" baseline="0">
              <a:solidFill>
                <a:schemeClr val="tx1"/>
              </a:solidFill>
            </a:rPr>
            <a:t> Master Cylinder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272143</xdr:colOff>
      <xdr:row>23</xdr:row>
      <xdr:rowOff>108856</xdr:rowOff>
    </xdr:from>
    <xdr:to>
      <xdr:col>15</xdr:col>
      <xdr:colOff>27216</xdr:colOff>
      <xdr:row>28</xdr:row>
      <xdr:rowOff>149677</xdr:rowOff>
    </xdr:to>
    <xdr:sp macro="" textlink="">
      <xdr:nvSpPr>
        <xdr:cNvPr id="38" name="Rounded Rectangle 37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7007679" y="4354285"/>
          <a:ext cx="2204358" cy="99332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Male-Female+Assemble</a:t>
          </a:r>
          <a:r>
            <a:rPr lang="en-US" sz="2000" b="1" i="1" baseline="0">
              <a:solidFill>
                <a:schemeClr val="tx1"/>
              </a:solidFill>
            </a:rPr>
            <a:t> Set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81645</xdr:colOff>
      <xdr:row>23</xdr:row>
      <xdr:rowOff>81643</xdr:rowOff>
    </xdr:from>
    <xdr:to>
      <xdr:col>18</xdr:col>
      <xdr:colOff>449038</xdr:colOff>
      <xdr:row>28</xdr:row>
      <xdr:rowOff>122465</xdr:rowOff>
    </xdr:to>
    <xdr:sp macro="" textlink="">
      <xdr:nvSpPr>
        <xdr:cNvPr id="39" name="Rounded Rectangle 38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66466" y="4327072"/>
          <a:ext cx="2204358" cy="99332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Mobil/Mobil</a:t>
          </a:r>
          <a:r>
            <a:rPr lang="en-US" sz="2000" b="1" i="1" baseline="0">
              <a:solidFill>
                <a:schemeClr val="tx1"/>
              </a:solidFill>
            </a:rPr>
            <a:t> Filter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571500</xdr:colOff>
      <xdr:row>23</xdr:row>
      <xdr:rowOff>122464</xdr:rowOff>
    </xdr:from>
    <xdr:to>
      <xdr:col>22</xdr:col>
      <xdr:colOff>326573</xdr:colOff>
      <xdr:row>28</xdr:row>
      <xdr:rowOff>163286</xdr:rowOff>
    </xdr:to>
    <xdr:sp macro="" textlink="">
      <xdr:nvSpPr>
        <xdr:cNvPr id="40" name="Rounded Rectangle 3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1593286" y="4367893"/>
          <a:ext cx="2204358" cy="99332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One</a:t>
          </a:r>
          <a:r>
            <a:rPr lang="en-US" sz="2000" b="1" i="1" baseline="0">
              <a:solidFill>
                <a:schemeClr val="tx1"/>
              </a:solidFill>
            </a:rPr>
            <a:t> Way Bearing Set/ Gotti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394606</xdr:colOff>
      <xdr:row>23</xdr:row>
      <xdr:rowOff>149678</xdr:rowOff>
    </xdr:from>
    <xdr:to>
      <xdr:col>25</xdr:col>
      <xdr:colOff>435428</xdr:colOff>
      <xdr:row>28</xdr:row>
      <xdr:rowOff>81643</xdr:rowOff>
    </xdr:to>
    <xdr:sp macro="" textlink="">
      <xdr:nvSpPr>
        <xdr:cNvPr id="41" name="Rounded Rectangle 40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13865677" y="4395107"/>
          <a:ext cx="1877787" cy="88446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Oil</a:t>
          </a:r>
          <a:r>
            <a:rPr lang="en-US" sz="2000" b="1" i="1" baseline="0">
              <a:solidFill>
                <a:schemeClr val="tx1"/>
              </a:solidFill>
            </a:rPr>
            <a:t> Seal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29</xdr:row>
      <xdr:rowOff>40822</xdr:rowOff>
    </xdr:from>
    <xdr:to>
      <xdr:col>3</xdr:col>
      <xdr:colOff>367394</xdr:colOff>
      <xdr:row>33</xdr:row>
      <xdr:rowOff>149680</xdr:rowOff>
    </xdr:to>
    <xdr:sp macro="" textlink="">
      <xdr:nvSpPr>
        <xdr:cNvPr id="42" name="Rounded Rectangle 41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0" y="5429251"/>
          <a:ext cx="2204358" cy="8708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Plug</a:t>
          </a:r>
          <a:r>
            <a:rPr lang="en-US" sz="2000" b="1" i="1" baseline="0">
              <a:solidFill>
                <a:schemeClr val="tx1"/>
              </a:solidFill>
            </a:rPr>
            <a:t>/Plug Cap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421822</xdr:colOff>
      <xdr:row>29</xdr:row>
      <xdr:rowOff>54429</xdr:rowOff>
    </xdr:from>
    <xdr:to>
      <xdr:col>7</xdr:col>
      <xdr:colOff>176894</xdr:colOff>
      <xdr:row>33</xdr:row>
      <xdr:rowOff>108857</xdr:rowOff>
    </xdr:to>
    <xdr:sp macro="" textlink="">
      <xdr:nvSpPr>
        <xdr:cNvPr id="44" name="Rounded Rectangle 43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2258786" y="5442858"/>
          <a:ext cx="2204358" cy="8164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Petrol</a:t>
          </a:r>
          <a:r>
            <a:rPr lang="en-US" sz="2000" b="1" i="1" baseline="0">
              <a:solidFill>
                <a:schemeClr val="tx1"/>
              </a:solidFill>
            </a:rPr>
            <a:t> Tap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272144</xdr:colOff>
      <xdr:row>29</xdr:row>
      <xdr:rowOff>108858</xdr:rowOff>
    </xdr:from>
    <xdr:to>
      <xdr:col>10</xdr:col>
      <xdr:colOff>544286</xdr:colOff>
      <xdr:row>33</xdr:row>
      <xdr:rowOff>68036</xdr:rowOff>
    </xdr:to>
    <xdr:sp macro="" textlink="">
      <xdr:nvSpPr>
        <xdr:cNvPr id="50" name="Rounded Rectangle 4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4558394" y="5497287"/>
          <a:ext cx="2109106" cy="72117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Rektifire</a:t>
          </a:r>
        </a:p>
      </xdr:txBody>
    </xdr:sp>
    <xdr:clientData/>
  </xdr:twoCellAnchor>
  <xdr:twoCellAnchor>
    <xdr:from>
      <xdr:col>11</xdr:col>
      <xdr:colOff>81644</xdr:colOff>
      <xdr:row>29</xdr:row>
      <xdr:rowOff>136073</xdr:rowOff>
    </xdr:from>
    <xdr:to>
      <xdr:col>14</xdr:col>
      <xdr:colOff>54430</xdr:colOff>
      <xdr:row>33</xdr:row>
      <xdr:rowOff>136073</xdr:rowOff>
    </xdr:to>
    <xdr:sp macro="" textlink="">
      <xdr:nvSpPr>
        <xdr:cNvPr id="51" name="Rounded Rectangle 50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6817180" y="5524502"/>
          <a:ext cx="1809750" cy="762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Rocker</a:t>
          </a:r>
        </a:p>
      </xdr:txBody>
    </xdr:sp>
    <xdr:clientData/>
  </xdr:twoCellAnchor>
  <xdr:twoCellAnchor>
    <xdr:from>
      <xdr:col>14</xdr:col>
      <xdr:colOff>136072</xdr:colOff>
      <xdr:row>29</xdr:row>
      <xdr:rowOff>122463</xdr:rowOff>
    </xdr:from>
    <xdr:to>
      <xdr:col>17</xdr:col>
      <xdr:colOff>217714</xdr:colOff>
      <xdr:row>34</xdr:row>
      <xdr:rowOff>17688</xdr:rowOff>
    </xdr:to>
    <xdr:sp macro="" textlink="">
      <xdr:nvSpPr>
        <xdr:cNvPr id="52" name="Rounded Rectangle 51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8708572" y="5510892"/>
          <a:ext cx="1918606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Rear</a:t>
          </a:r>
          <a:r>
            <a:rPr lang="en-US" sz="2000" b="1" i="1" baseline="0">
              <a:solidFill>
                <a:schemeClr val="tx1"/>
              </a:solidFill>
            </a:rPr>
            <a:t> Axel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272143</xdr:colOff>
      <xdr:row>29</xdr:row>
      <xdr:rowOff>108859</xdr:rowOff>
    </xdr:from>
    <xdr:to>
      <xdr:col>20</xdr:col>
      <xdr:colOff>244927</xdr:colOff>
      <xdr:row>34</xdr:row>
      <xdr:rowOff>4084</xdr:rowOff>
    </xdr:to>
    <xdr:sp macro="" textlink="">
      <xdr:nvSpPr>
        <xdr:cNvPr id="53" name="Rounded Rectangle 52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0681607" y="5497288"/>
          <a:ext cx="1809749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Self</a:t>
          </a:r>
          <a:r>
            <a:rPr lang="en-US" sz="2000" b="1" i="1" baseline="0">
              <a:solidFill>
                <a:schemeClr val="tx1"/>
              </a:solidFill>
            </a:rPr>
            <a:t> Carbon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421820</xdr:colOff>
      <xdr:row>29</xdr:row>
      <xdr:rowOff>81643</xdr:rowOff>
    </xdr:from>
    <xdr:to>
      <xdr:col>23</xdr:col>
      <xdr:colOff>394605</xdr:colOff>
      <xdr:row>33</xdr:row>
      <xdr:rowOff>167368</xdr:rowOff>
    </xdr:to>
    <xdr:sp macro="" textlink="">
      <xdr:nvSpPr>
        <xdr:cNvPr id="54" name="Rounded Rectangle 53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2668249" y="5470072"/>
          <a:ext cx="1809749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Side</a:t>
          </a:r>
          <a:r>
            <a:rPr lang="en-US" sz="2000" b="1" i="1" baseline="0">
              <a:solidFill>
                <a:schemeClr val="tx1"/>
              </a:solidFill>
            </a:rPr>
            <a:t> Light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13608</xdr:rowOff>
    </xdr:from>
    <xdr:to>
      <xdr:col>2</xdr:col>
      <xdr:colOff>585106</xdr:colOff>
      <xdr:row>39</xdr:row>
      <xdr:rowOff>99333</xdr:rowOff>
    </xdr:to>
    <xdr:sp macro="" textlink="">
      <xdr:nvSpPr>
        <xdr:cNvPr id="55" name="Rounded Rectangle 5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0" y="6545037"/>
          <a:ext cx="1809749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Side</a:t>
          </a:r>
          <a:r>
            <a:rPr lang="en-US" sz="2000" b="1" i="1" baseline="0">
              <a:solidFill>
                <a:schemeClr val="tx1"/>
              </a:solidFill>
            </a:rPr>
            <a:t> Stand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136073</xdr:colOff>
      <xdr:row>35</xdr:row>
      <xdr:rowOff>13606</xdr:rowOff>
    </xdr:from>
    <xdr:to>
      <xdr:col>6</xdr:col>
      <xdr:colOff>108857</xdr:colOff>
      <xdr:row>39</xdr:row>
      <xdr:rowOff>99331</xdr:rowOff>
    </xdr:to>
    <xdr:sp macro="" textlink="">
      <xdr:nvSpPr>
        <xdr:cNvPr id="56" name="Rounded Rectangle 55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1973037" y="6545035"/>
          <a:ext cx="1809749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Speedo</a:t>
          </a:r>
          <a:r>
            <a:rPr lang="en-US" sz="2000" b="1" i="1" baseline="0">
              <a:solidFill>
                <a:schemeClr val="tx1"/>
              </a:solidFill>
            </a:rPr>
            <a:t> Meter Cable/Gotti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204106</xdr:colOff>
      <xdr:row>35</xdr:row>
      <xdr:rowOff>27215</xdr:rowOff>
    </xdr:from>
    <xdr:to>
      <xdr:col>9</xdr:col>
      <xdr:colOff>176891</xdr:colOff>
      <xdr:row>39</xdr:row>
      <xdr:rowOff>112940</xdr:rowOff>
    </xdr:to>
    <xdr:sp macro="" textlink="">
      <xdr:nvSpPr>
        <xdr:cNvPr id="57" name="Rounded Rectangle 56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3878035" y="6558644"/>
          <a:ext cx="1809749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Shock</a:t>
          </a:r>
          <a:r>
            <a:rPr lang="en-US" sz="2000" b="1" i="1" baseline="0">
              <a:solidFill>
                <a:schemeClr val="tx1"/>
              </a:solidFill>
            </a:rPr>
            <a:t> Rod/Rear Shock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285750</xdr:colOff>
      <xdr:row>35</xdr:row>
      <xdr:rowOff>13606</xdr:rowOff>
    </xdr:from>
    <xdr:to>
      <xdr:col>12</xdr:col>
      <xdr:colOff>258535</xdr:colOff>
      <xdr:row>39</xdr:row>
      <xdr:rowOff>99331</xdr:rowOff>
    </xdr:to>
    <xdr:sp macro="" textlink="">
      <xdr:nvSpPr>
        <xdr:cNvPr id="58" name="Rounded Rectangle 57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5796643" y="6545035"/>
          <a:ext cx="1809749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Suspention</a:t>
          </a:r>
          <a:r>
            <a:rPr lang="en-US" sz="2000" b="1" i="1" baseline="0">
              <a:solidFill>
                <a:schemeClr val="tx1"/>
              </a:solidFill>
            </a:rPr>
            <a:t> Bush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340179</xdr:colOff>
      <xdr:row>34</xdr:row>
      <xdr:rowOff>122463</xdr:rowOff>
    </xdr:from>
    <xdr:to>
      <xdr:col>15</xdr:col>
      <xdr:colOff>312964</xdr:colOff>
      <xdr:row>41</xdr:row>
      <xdr:rowOff>13606</xdr:rowOff>
    </xdr:to>
    <xdr:sp macro="" textlink="">
      <xdr:nvSpPr>
        <xdr:cNvPr id="59" name="Rounded Rectangle 58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7688036" y="6463392"/>
          <a:ext cx="1809749" cy="122464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Self-Cutout/Relay/Self-Switch</a:t>
          </a:r>
        </a:p>
      </xdr:txBody>
    </xdr:sp>
    <xdr:clientData/>
  </xdr:twoCellAnchor>
  <xdr:twoCellAnchor>
    <xdr:from>
      <xdr:col>15</xdr:col>
      <xdr:colOff>503465</xdr:colOff>
      <xdr:row>35</xdr:row>
      <xdr:rowOff>27214</xdr:rowOff>
    </xdr:from>
    <xdr:to>
      <xdr:col>18</xdr:col>
      <xdr:colOff>476249</xdr:colOff>
      <xdr:row>40</xdr:row>
      <xdr:rowOff>126546</xdr:rowOff>
    </xdr:to>
    <xdr:sp macro="" textlink="">
      <xdr:nvSpPr>
        <xdr:cNvPr id="60" name="Rounded Rectangle 59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9688286" y="6558643"/>
          <a:ext cx="1809749" cy="105183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Seat</a:t>
          </a:r>
          <a:r>
            <a:rPr lang="en-US" sz="2000" b="1" i="1" baseline="0">
              <a:solidFill>
                <a:schemeClr val="tx1"/>
              </a:solidFill>
            </a:rPr>
            <a:t> Cover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40</xdr:row>
      <xdr:rowOff>13607</xdr:rowOff>
    </xdr:from>
    <xdr:to>
      <xdr:col>1</xdr:col>
      <xdr:colOff>435429</xdr:colOff>
      <xdr:row>44</xdr:row>
      <xdr:rowOff>99332</xdr:rowOff>
    </xdr:to>
    <xdr:sp macro="" textlink="">
      <xdr:nvSpPr>
        <xdr:cNvPr id="61" name="Rounded Rectangle 60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0" y="7497536"/>
          <a:ext cx="1047750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Top</a:t>
          </a:r>
          <a:r>
            <a:rPr lang="en-US" sz="2000" b="1" i="1" baseline="0">
              <a:solidFill>
                <a:schemeClr val="tx1"/>
              </a:solidFill>
            </a:rPr>
            <a:t>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489858</xdr:colOff>
      <xdr:row>40</xdr:row>
      <xdr:rowOff>0</xdr:rowOff>
    </xdr:from>
    <xdr:to>
      <xdr:col>5</xdr:col>
      <xdr:colOff>27214</xdr:colOff>
      <xdr:row>44</xdr:row>
      <xdr:rowOff>85725</xdr:rowOff>
    </xdr:to>
    <xdr:sp macro="" textlink="">
      <xdr:nvSpPr>
        <xdr:cNvPr id="62" name="Rounded Rectangle 61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102179" y="7483929"/>
          <a:ext cx="1986642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Tube/Puncher</a:t>
          </a:r>
          <a:r>
            <a:rPr lang="en-US" sz="2000" b="1" i="1" baseline="0">
              <a:solidFill>
                <a:schemeClr val="tx1"/>
              </a:solidFill>
            </a:rPr>
            <a:t> Stick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95251</xdr:colOff>
      <xdr:row>40</xdr:row>
      <xdr:rowOff>40822</xdr:rowOff>
    </xdr:from>
    <xdr:to>
      <xdr:col>8</xdr:col>
      <xdr:colOff>244929</xdr:colOff>
      <xdr:row>44</xdr:row>
      <xdr:rowOff>126547</xdr:rowOff>
    </xdr:to>
    <xdr:sp macro="" textlink="">
      <xdr:nvSpPr>
        <xdr:cNvPr id="63" name="Rounded Rectangle 62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3156858" y="7524751"/>
          <a:ext cx="1986642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Tanky</a:t>
          </a:r>
          <a:r>
            <a:rPr lang="en-US" sz="2000" b="1" i="1" baseline="0">
              <a:solidFill>
                <a:schemeClr val="tx1"/>
              </a:solidFill>
            </a:rPr>
            <a:t> Cap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340180</xdr:colOff>
      <xdr:row>40</xdr:row>
      <xdr:rowOff>40822</xdr:rowOff>
    </xdr:from>
    <xdr:to>
      <xdr:col>11</xdr:col>
      <xdr:colOff>489857</xdr:colOff>
      <xdr:row>44</xdr:row>
      <xdr:rowOff>126547</xdr:rowOff>
    </xdr:to>
    <xdr:sp macro="" textlink="">
      <xdr:nvSpPr>
        <xdr:cNvPr id="64" name="Rounded Rectangle 63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238751" y="7524751"/>
          <a:ext cx="1986642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Timing</a:t>
          </a:r>
          <a:r>
            <a:rPr lang="en-US" sz="2000" b="1" i="1" baseline="0">
              <a:solidFill>
                <a:schemeClr val="tx1"/>
              </a:solidFill>
            </a:rPr>
            <a:t> Pad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598714</xdr:colOff>
      <xdr:row>41</xdr:row>
      <xdr:rowOff>81643</xdr:rowOff>
    </xdr:from>
    <xdr:to>
      <xdr:col>15</xdr:col>
      <xdr:colOff>136071</xdr:colOff>
      <xdr:row>45</xdr:row>
      <xdr:rowOff>167368</xdr:rowOff>
    </xdr:to>
    <xdr:sp macro="" textlink="">
      <xdr:nvSpPr>
        <xdr:cNvPr id="65" name="Rounded Rectangle 6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7334250" y="7756072"/>
          <a:ext cx="1986642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Tyres</a:t>
          </a:r>
        </a:p>
      </xdr:txBody>
    </xdr:sp>
    <xdr:clientData/>
  </xdr:twoCellAnchor>
  <xdr:twoCellAnchor>
    <xdr:from>
      <xdr:col>0</xdr:col>
      <xdr:colOff>136072</xdr:colOff>
      <xdr:row>45</xdr:row>
      <xdr:rowOff>176893</xdr:rowOff>
    </xdr:from>
    <xdr:to>
      <xdr:col>2</xdr:col>
      <xdr:colOff>489857</xdr:colOff>
      <xdr:row>50</xdr:row>
      <xdr:rowOff>72118</xdr:rowOff>
    </xdr:to>
    <xdr:sp macro="" textlink="">
      <xdr:nvSpPr>
        <xdr:cNvPr id="66" name="Rounded Rectangle 65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36072" y="8613322"/>
          <a:ext cx="1578428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Helmet</a:t>
          </a:r>
        </a:p>
      </xdr:txBody>
    </xdr:sp>
    <xdr:clientData/>
  </xdr:twoCellAnchor>
  <xdr:twoCellAnchor>
    <xdr:from>
      <xdr:col>3</xdr:col>
      <xdr:colOff>13606</xdr:colOff>
      <xdr:row>45</xdr:row>
      <xdr:rowOff>95250</xdr:rowOff>
    </xdr:from>
    <xdr:to>
      <xdr:col>10</xdr:col>
      <xdr:colOff>40821</xdr:colOff>
      <xdr:row>54</xdr:row>
      <xdr:rowOff>0</xdr:rowOff>
    </xdr:to>
    <xdr:sp macro="" textlink="">
      <xdr:nvSpPr>
        <xdr:cNvPr id="67" name="Rounded Rectangle 66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850570" y="8531679"/>
          <a:ext cx="4313465" cy="16192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Weight Roller/Green/Link Bush/Varrator(Kachaura)/Rear Roller Hub </a:t>
          </a:r>
        </a:p>
      </xdr:txBody>
    </xdr:sp>
    <xdr:clientData/>
  </xdr:twoCellAnchor>
  <xdr:twoCellAnchor>
    <xdr:from>
      <xdr:col>3</xdr:col>
      <xdr:colOff>571500</xdr:colOff>
      <xdr:row>8</xdr:row>
      <xdr:rowOff>163286</xdr:rowOff>
    </xdr:from>
    <xdr:to>
      <xdr:col>7</xdr:col>
      <xdr:colOff>478970</xdr:colOff>
      <xdr:row>13</xdr:row>
      <xdr:rowOff>27215</xdr:rowOff>
    </xdr:to>
    <xdr:sp macro="" textlink="">
      <xdr:nvSpPr>
        <xdr:cNvPr id="68" name="Rounded Rectangle 6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408464" y="1551215"/>
          <a:ext cx="2356756" cy="8164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Clutch</a:t>
          </a:r>
          <a:r>
            <a:rPr lang="en-US" sz="2000" b="1" i="1" baseline="0">
              <a:solidFill>
                <a:schemeClr val="tx1"/>
              </a:solidFill>
            </a:rPr>
            <a:t> Shoe/Chain-exchauster </a:t>
          </a:r>
          <a:endParaRPr lang="en-US" sz="2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204107</xdr:colOff>
      <xdr:row>41</xdr:row>
      <xdr:rowOff>81646</xdr:rowOff>
    </xdr:from>
    <xdr:to>
      <xdr:col>18</xdr:col>
      <xdr:colOff>353784</xdr:colOff>
      <xdr:row>45</xdr:row>
      <xdr:rowOff>167371</xdr:rowOff>
    </xdr:to>
    <xdr:sp macro="" textlink="">
      <xdr:nvSpPr>
        <xdr:cNvPr id="69" name="Rounded Rectangle 6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9388928" y="7756075"/>
          <a:ext cx="1986642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Others</a:t>
          </a:r>
        </a:p>
      </xdr:txBody>
    </xdr:sp>
    <xdr:clientData/>
  </xdr:twoCellAnchor>
  <xdr:twoCellAnchor>
    <xdr:from>
      <xdr:col>19</xdr:col>
      <xdr:colOff>40822</xdr:colOff>
      <xdr:row>35</xdr:row>
      <xdr:rowOff>149678</xdr:rowOff>
    </xdr:from>
    <xdr:to>
      <xdr:col>21</xdr:col>
      <xdr:colOff>571500</xdr:colOff>
      <xdr:row>40</xdr:row>
      <xdr:rowOff>81642</xdr:rowOff>
    </xdr:to>
    <xdr:sp macro="" textlink="">
      <xdr:nvSpPr>
        <xdr:cNvPr id="2" name="Rounded Rectangle 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674929" y="6681107"/>
          <a:ext cx="1755321" cy="88446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Shock Spring</a:t>
          </a:r>
        </a:p>
      </xdr:txBody>
    </xdr:sp>
    <xdr:clientData/>
  </xdr:twoCellAnchor>
  <xdr:twoCellAnchor>
    <xdr:from>
      <xdr:col>10</xdr:col>
      <xdr:colOff>136072</xdr:colOff>
      <xdr:row>47</xdr:row>
      <xdr:rowOff>54428</xdr:rowOff>
    </xdr:from>
    <xdr:to>
      <xdr:col>13</xdr:col>
      <xdr:colOff>571499</xdr:colOff>
      <xdr:row>53</xdr:row>
      <xdr:rowOff>0</xdr:rowOff>
    </xdr:to>
    <xdr:sp macro="" textlink="">
      <xdr:nvSpPr>
        <xdr:cNvPr id="3" name="Rounded Rectangle 2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259286" y="8871857"/>
          <a:ext cx="2272392" cy="108857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Chainkit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276531</xdr:colOff>
      <xdr:row>10</xdr:row>
      <xdr:rowOff>327742</xdr:rowOff>
    </xdr:from>
    <xdr:to>
      <xdr:col>9</xdr:col>
      <xdr:colOff>378950</xdr:colOff>
      <xdr:row>17</xdr:row>
      <xdr:rowOff>143386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672096" y="1689919"/>
          <a:ext cx="1945967" cy="150556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4</xdr:row>
      <xdr:rowOff>9525</xdr:rowOff>
    </xdr:from>
    <xdr:to>
      <xdr:col>12</xdr:col>
      <xdr:colOff>504825</xdr:colOff>
      <xdr:row>9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191750" y="1876425"/>
          <a:ext cx="2695575" cy="10953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11</xdr:row>
      <xdr:rowOff>95250</xdr:rowOff>
    </xdr:from>
    <xdr:to>
      <xdr:col>12</xdr:col>
      <xdr:colOff>419100</xdr:colOff>
      <xdr:row>17</xdr:row>
      <xdr:rowOff>133350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9525000" y="2724150"/>
          <a:ext cx="2695575" cy="1181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</xdr:row>
      <xdr:rowOff>66675</xdr:rowOff>
    </xdr:from>
    <xdr:to>
      <xdr:col>12</xdr:col>
      <xdr:colOff>561975</xdr:colOff>
      <xdr:row>10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9915525" y="1743075"/>
          <a:ext cx="2695575" cy="1562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2</xdr:row>
      <xdr:rowOff>657225</xdr:rowOff>
    </xdr:from>
    <xdr:to>
      <xdr:col>13</xdr:col>
      <xdr:colOff>171450</xdr:colOff>
      <xdr:row>8</xdr:row>
      <xdr:rowOff>9525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0106025" y="1552575"/>
          <a:ext cx="2428875" cy="1228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3</xdr:row>
      <xdr:rowOff>152400</xdr:rowOff>
    </xdr:from>
    <xdr:to>
      <xdr:col>12</xdr:col>
      <xdr:colOff>381000</xdr:colOff>
      <xdr:row>15</xdr:row>
      <xdr:rowOff>47625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9201150" y="1857375"/>
          <a:ext cx="2695575" cy="1609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4</xdr:row>
      <xdr:rowOff>66675</xdr:rowOff>
    </xdr:from>
    <xdr:to>
      <xdr:col>12</xdr:col>
      <xdr:colOff>323850</xdr:colOff>
      <xdr:row>13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9210675" y="1790700"/>
          <a:ext cx="2695575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9</xdr:row>
      <xdr:rowOff>38100</xdr:rowOff>
    </xdr:from>
    <xdr:to>
      <xdr:col>11</xdr:col>
      <xdr:colOff>438150</xdr:colOff>
      <xdr:row>11</xdr:row>
      <xdr:rowOff>28575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8620125" y="2714625"/>
          <a:ext cx="2667000" cy="7429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6</xdr:row>
      <xdr:rowOff>0</xdr:rowOff>
    </xdr:from>
    <xdr:to>
      <xdr:col>10</xdr:col>
      <xdr:colOff>552450</xdr:colOff>
      <xdr:row>9</xdr:row>
      <xdr:rowOff>171450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305675" y="1990725"/>
          <a:ext cx="2667000" cy="7429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7</xdr:row>
      <xdr:rowOff>9525</xdr:rowOff>
    </xdr:from>
    <xdr:to>
      <xdr:col>13</xdr:col>
      <xdr:colOff>133350</xdr:colOff>
      <xdr:row>14</xdr:row>
      <xdr:rowOff>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11811000" y="2305050"/>
          <a:ext cx="2695575" cy="7524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7</xdr:row>
      <xdr:rowOff>28575</xdr:rowOff>
    </xdr:from>
    <xdr:to>
      <xdr:col>13</xdr:col>
      <xdr:colOff>352425</xdr:colOff>
      <xdr:row>17</xdr:row>
      <xdr:rowOff>114300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0591800" y="2352675"/>
          <a:ext cx="2695575" cy="1419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152399</xdr:colOff>
      <xdr:row>6</xdr:row>
      <xdr:rowOff>0</xdr:rowOff>
    </xdr:from>
    <xdr:to>
      <xdr:col>12</xdr:col>
      <xdr:colOff>314324</xdr:colOff>
      <xdr:row>12</xdr:row>
      <xdr:rowOff>9525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9848849" y="2105025"/>
          <a:ext cx="2600325" cy="9620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6</xdr:row>
      <xdr:rowOff>104775</xdr:rowOff>
    </xdr:from>
    <xdr:to>
      <xdr:col>8</xdr:col>
      <xdr:colOff>457199</xdr:colOff>
      <xdr:row>10</xdr:row>
      <xdr:rowOff>114300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7896224" y="2209800"/>
          <a:ext cx="2600325" cy="771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466724</xdr:colOff>
      <xdr:row>4</xdr:row>
      <xdr:rowOff>0</xdr:rowOff>
    </xdr:from>
    <xdr:to>
      <xdr:col>13</xdr:col>
      <xdr:colOff>19049</xdr:colOff>
      <xdr:row>9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9001124" y="1724025"/>
          <a:ext cx="2600325" cy="9620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3</xdr:row>
      <xdr:rowOff>38100</xdr:rowOff>
    </xdr:from>
    <xdr:to>
      <xdr:col>13</xdr:col>
      <xdr:colOff>295275</xdr:colOff>
      <xdr:row>7</xdr:row>
      <xdr:rowOff>57150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10201275" y="1571625"/>
          <a:ext cx="2695575" cy="771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2</xdr:row>
      <xdr:rowOff>85725</xdr:rowOff>
    </xdr:from>
    <xdr:to>
      <xdr:col>12</xdr:col>
      <xdr:colOff>76199</xdr:colOff>
      <xdr:row>6</xdr:row>
      <xdr:rowOff>95250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8172449" y="1428750"/>
          <a:ext cx="2886075" cy="771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257174</xdr:colOff>
      <xdr:row>5</xdr:row>
      <xdr:rowOff>542925</xdr:rowOff>
    </xdr:from>
    <xdr:to>
      <xdr:col>13</xdr:col>
      <xdr:colOff>95249</xdr:colOff>
      <xdr:row>6</xdr:row>
      <xdr:rowOff>561975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9363074" y="2266950"/>
          <a:ext cx="2886075" cy="5810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76199</xdr:colOff>
      <xdr:row>7</xdr:row>
      <xdr:rowOff>171450</xdr:rowOff>
    </xdr:from>
    <xdr:to>
      <xdr:col>13</xdr:col>
      <xdr:colOff>523874</xdr:colOff>
      <xdr:row>11</xdr:row>
      <xdr:rowOff>180975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9201149" y="2466975"/>
          <a:ext cx="2886075" cy="771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47624</xdr:colOff>
      <xdr:row>3</xdr:row>
      <xdr:rowOff>57150</xdr:rowOff>
    </xdr:from>
    <xdr:to>
      <xdr:col>13</xdr:col>
      <xdr:colOff>466724</xdr:colOff>
      <xdr:row>7</xdr:row>
      <xdr:rowOff>66675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8629649" y="1590675"/>
          <a:ext cx="3467100" cy="771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552449</xdr:colOff>
      <xdr:row>1</xdr:row>
      <xdr:rowOff>752475</xdr:rowOff>
    </xdr:from>
    <xdr:to>
      <xdr:col>12</xdr:col>
      <xdr:colOff>390524</xdr:colOff>
      <xdr:row>5</xdr:row>
      <xdr:rowOff>171450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8353424" y="1314450"/>
          <a:ext cx="2886075" cy="771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361949</xdr:colOff>
      <xdr:row>3</xdr:row>
      <xdr:rowOff>161925</xdr:rowOff>
    </xdr:from>
    <xdr:to>
      <xdr:col>12</xdr:col>
      <xdr:colOff>409574</xdr:colOff>
      <xdr:row>7</xdr:row>
      <xdr:rowOff>171450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8439149" y="1695450"/>
          <a:ext cx="3095625" cy="771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152399</xdr:colOff>
      <xdr:row>5</xdr:row>
      <xdr:rowOff>114300</xdr:rowOff>
    </xdr:from>
    <xdr:to>
      <xdr:col>13</xdr:col>
      <xdr:colOff>600074</xdr:colOff>
      <xdr:row>9</xdr:row>
      <xdr:rowOff>9525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8562974" y="2028825"/>
          <a:ext cx="288607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342899</xdr:colOff>
      <xdr:row>3</xdr:row>
      <xdr:rowOff>161925</xdr:rowOff>
    </xdr:from>
    <xdr:to>
      <xdr:col>12</xdr:col>
      <xdr:colOff>180974</xdr:colOff>
      <xdr:row>9</xdr:row>
      <xdr:rowOff>57150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9172574" y="1695450"/>
          <a:ext cx="2886075" cy="1038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361949</xdr:colOff>
      <xdr:row>8</xdr:row>
      <xdr:rowOff>142875</xdr:rowOff>
    </xdr:from>
    <xdr:to>
      <xdr:col>12</xdr:col>
      <xdr:colOff>200024</xdr:colOff>
      <xdr:row>12</xdr:row>
      <xdr:rowOff>38100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8582024" y="2628900"/>
          <a:ext cx="288607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219074</xdr:colOff>
      <xdr:row>3</xdr:row>
      <xdr:rowOff>85725</xdr:rowOff>
    </xdr:from>
    <xdr:to>
      <xdr:col>13</xdr:col>
      <xdr:colOff>323849</xdr:colOff>
      <xdr:row>8</xdr:row>
      <xdr:rowOff>171450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8639174" y="1619250"/>
          <a:ext cx="376237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3</xdr:row>
      <xdr:rowOff>142875</xdr:rowOff>
    </xdr:from>
    <xdr:to>
      <xdr:col>13</xdr:col>
      <xdr:colOff>447674</xdr:colOff>
      <xdr:row>7</xdr:row>
      <xdr:rowOff>38100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9020174" y="1676400"/>
          <a:ext cx="288607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10</xdr:col>
      <xdr:colOff>447675</xdr:colOff>
      <xdr:row>9</xdr:row>
      <xdr:rowOff>85725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7191375" y="2295525"/>
          <a:ext cx="288607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2</xdr:row>
      <xdr:rowOff>95250</xdr:rowOff>
    </xdr:from>
    <xdr:to>
      <xdr:col>12</xdr:col>
      <xdr:colOff>200025</xdr:colOff>
      <xdr:row>5</xdr:row>
      <xdr:rowOff>180975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/>
      </xdr:nvSpPr>
      <xdr:spPr>
        <a:xfrm>
          <a:off x="8058150" y="1438275"/>
          <a:ext cx="303847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4</xdr:row>
      <xdr:rowOff>123825</xdr:rowOff>
    </xdr:from>
    <xdr:to>
      <xdr:col>13</xdr:col>
      <xdr:colOff>209550</xdr:colOff>
      <xdr:row>8</xdr:row>
      <xdr:rowOff>19050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/>
      </xdr:nvSpPr>
      <xdr:spPr>
        <a:xfrm>
          <a:off x="8505825" y="1847850"/>
          <a:ext cx="303847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3</xdr:row>
      <xdr:rowOff>180975</xdr:rowOff>
    </xdr:from>
    <xdr:to>
      <xdr:col>13</xdr:col>
      <xdr:colOff>38100</xdr:colOff>
      <xdr:row>8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SpPr/>
      </xdr:nvSpPr>
      <xdr:spPr>
        <a:xfrm>
          <a:off x="8353425" y="1714500"/>
          <a:ext cx="303847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10</xdr:row>
      <xdr:rowOff>9525</xdr:rowOff>
    </xdr:from>
    <xdr:to>
      <xdr:col>12</xdr:col>
      <xdr:colOff>95250</xdr:colOff>
      <xdr:row>16</xdr:row>
      <xdr:rowOff>95250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/>
      </xdr:nvSpPr>
      <xdr:spPr>
        <a:xfrm>
          <a:off x="7810500" y="2876550"/>
          <a:ext cx="3038475" cy="12096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15</xdr:row>
      <xdr:rowOff>66675</xdr:rowOff>
    </xdr:from>
    <xdr:to>
      <xdr:col>14</xdr:col>
      <xdr:colOff>209550</xdr:colOff>
      <xdr:row>25</xdr:row>
      <xdr:rowOff>133350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/>
      </xdr:nvSpPr>
      <xdr:spPr>
        <a:xfrm>
          <a:off x="9534525" y="3895725"/>
          <a:ext cx="3552825" cy="1228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3</xdr:row>
      <xdr:rowOff>57150</xdr:rowOff>
    </xdr:from>
    <xdr:to>
      <xdr:col>12</xdr:col>
      <xdr:colOff>409575</xdr:colOff>
      <xdr:row>7</xdr:row>
      <xdr:rowOff>542925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/>
      </xdr:nvSpPr>
      <xdr:spPr>
        <a:xfrm>
          <a:off x="10191750" y="1590675"/>
          <a:ext cx="3143250" cy="12477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21</xdr:row>
      <xdr:rowOff>38100</xdr:rowOff>
    </xdr:from>
    <xdr:to>
      <xdr:col>13</xdr:col>
      <xdr:colOff>238125</xdr:colOff>
      <xdr:row>24</xdr:row>
      <xdr:rowOff>123825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/>
      </xdr:nvSpPr>
      <xdr:spPr>
        <a:xfrm>
          <a:off x="8810625" y="4629150"/>
          <a:ext cx="3695700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2</xdr:row>
      <xdr:rowOff>0</xdr:rowOff>
    </xdr:from>
    <xdr:to>
      <xdr:col>12</xdr:col>
      <xdr:colOff>276225</xdr:colOff>
      <xdr:row>11</xdr:row>
      <xdr:rowOff>28575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SpPr/>
      </xdr:nvSpPr>
      <xdr:spPr>
        <a:xfrm>
          <a:off x="10372725" y="1343025"/>
          <a:ext cx="2228850" cy="1743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2</xdr:row>
      <xdr:rowOff>85725</xdr:rowOff>
    </xdr:from>
    <xdr:to>
      <xdr:col>12</xdr:col>
      <xdr:colOff>114300</xdr:colOff>
      <xdr:row>9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SpPr/>
      </xdr:nvSpPr>
      <xdr:spPr>
        <a:xfrm>
          <a:off x="8077200" y="1428750"/>
          <a:ext cx="2886075" cy="1419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6</xdr:row>
      <xdr:rowOff>19050</xdr:rowOff>
    </xdr:from>
    <xdr:to>
      <xdr:col>12</xdr:col>
      <xdr:colOff>219075</xdr:colOff>
      <xdr:row>14</xdr:row>
      <xdr:rowOff>104775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SpPr/>
      </xdr:nvSpPr>
      <xdr:spPr>
        <a:xfrm>
          <a:off x="9134475" y="1743075"/>
          <a:ext cx="2847975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2</xdr:row>
      <xdr:rowOff>95250</xdr:rowOff>
    </xdr:from>
    <xdr:to>
      <xdr:col>13</xdr:col>
      <xdr:colOff>314325</xdr:colOff>
      <xdr:row>11</xdr:row>
      <xdr:rowOff>123825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SpPr/>
      </xdr:nvSpPr>
      <xdr:spPr>
        <a:xfrm>
          <a:off x="10772775" y="1438275"/>
          <a:ext cx="2924175" cy="1552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5</xdr:row>
      <xdr:rowOff>0</xdr:rowOff>
    </xdr:from>
    <xdr:to>
      <xdr:col>13</xdr:col>
      <xdr:colOff>104775</xdr:colOff>
      <xdr:row>12</xdr:row>
      <xdr:rowOff>85725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SpPr/>
      </xdr:nvSpPr>
      <xdr:spPr>
        <a:xfrm>
          <a:off x="8305800" y="1914525"/>
          <a:ext cx="2695575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4</xdr:row>
      <xdr:rowOff>66675</xdr:rowOff>
    </xdr:from>
    <xdr:to>
      <xdr:col>12</xdr:col>
      <xdr:colOff>114300</xdr:colOff>
      <xdr:row>8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SpPr/>
      </xdr:nvSpPr>
      <xdr:spPr>
        <a:xfrm>
          <a:off x="8086725" y="1790700"/>
          <a:ext cx="2695575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5</xdr:row>
      <xdr:rowOff>76200</xdr:rowOff>
    </xdr:from>
    <xdr:to>
      <xdr:col>12</xdr:col>
      <xdr:colOff>247650</xdr:colOff>
      <xdr:row>9</xdr:row>
      <xdr:rowOff>161925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SpPr/>
      </xdr:nvSpPr>
      <xdr:spPr>
        <a:xfrm>
          <a:off x="8220075" y="1990725"/>
          <a:ext cx="2695575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4</xdr:row>
      <xdr:rowOff>123825</xdr:rowOff>
    </xdr:from>
    <xdr:to>
      <xdr:col>12</xdr:col>
      <xdr:colOff>314325</xdr:colOff>
      <xdr:row>9</xdr:row>
      <xdr:rowOff>19050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SpPr/>
      </xdr:nvSpPr>
      <xdr:spPr>
        <a:xfrm>
          <a:off x="8286750" y="1847850"/>
          <a:ext cx="2695575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6</xdr:row>
      <xdr:rowOff>0</xdr:rowOff>
    </xdr:from>
    <xdr:to>
      <xdr:col>11</xdr:col>
      <xdr:colOff>466725</xdr:colOff>
      <xdr:row>12</xdr:row>
      <xdr:rowOff>85725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SpPr/>
      </xdr:nvSpPr>
      <xdr:spPr>
        <a:xfrm>
          <a:off x="9248775" y="1914525"/>
          <a:ext cx="2695575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8</xdr:row>
      <xdr:rowOff>47625</xdr:rowOff>
    </xdr:from>
    <xdr:to>
      <xdr:col>10</xdr:col>
      <xdr:colOff>209550</xdr:colOff>
      <xdr:row>16</xdr:row>
      <xdr:rowOff>57150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SpPr/>
      </xdr:nvSpPr>
      <xdr:spPr>
        <a:xfrm>
          <a:off x="9429750" y="1962150"/>
          <a:ext cx="1638300" cy="1152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6</xdr:row>
      <xdr:rowOff>9525</xdr:rowOff>
    </xdr:from>
    <xdr:to>
      <xdr:col>14</xdr:col>
      <xdr:colOff>133350</xdr:colOff>
      <xdr:row>10</xdr:row>
      <xdr:rowOff>95250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/>
      </xdr:nvSpPr>
      <xdr:spPr>
        <a:xfrm>
          <a:off x="9324975" y="2114550"/>
          <a:ext cx="4210050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95250</xdr:rowOff>
    </xdr:from>
    <xdr:to>
      <xdr:col>12</xdr:col>
      <xdr:colOff>219075</xdr:colOff>
      <xdr:row>19</xdr:row>
      <xdr:rowOff>381000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/>
      </xdr:nvSpPr>
      <xdr:spPr>
        <a:xfrm>
          <a:off x="9496425" y="4676775"/>
          <a:ext cx="2943225" cy="8477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16</xdr:row>
      <xdr:rowOff>19050</xdr:rowOff>
    </xdr:from>
    <xdr:to>
      <xdr:col>11</xdr:col>
      <xdr:colOff>476250</xdr:colOff>
      <xdr:row>20</xdr:row>
      <xdr:rowOff>47625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SpPr/>
      </xdr:nvSpPr>
      <xdr:spPr>
        <a:xfrm>
          <a:off x="9267825" y="3648075"/>
          <a:ext cx="2695575" cy="790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6</xdr:row>
      <xdr:rowOff>9525</xdr:rowOff>
    </xdr:from>
    <xdr:to>
      <xdr:col>11</xdr:col>
      <xdr:colOff>495300</xdr:colOff>
      <xdr:row>10</xdr:row>
      <xdr:rowOff>38100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SpPr/>
      </xdr:nvSpPr>
      <xdr:spPr>
        <a:xfrm>
          <a:off x="9334500" y="2114550"/>
          <a:ext cx="2695575" cy="790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6</xdr:row>
      <xdr:rowOff>57150</xdr:rowOff>
    </xdr:from>
    <xdr:to>
      <xdr:col>12</xdr:col>
      <xdr:colOff>542925</xdr:colOff>
      <xdr:row>9</xdr:row>
      <xdr:rowOff>333375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/>
      </xdr:nvSpPr>
      <xdr:spPr>
        <a:xfrm>
          <a:off x="9944100" y="2352675"/>
          <a:ext cx="2695575" cy="12192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8</xdr:row>
      <xdr:rowOff>180975</xdr:rowOff>
    </xdr:from>
    <xdr:to>
      <xdr:col>11</xdr:col>
      <xdr:colOff>514350</xdr:colOff>
      <xdr:row>13</xdr:row>
      <xdr:rowOff>19050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SpPr/>
      </xdr:nvSpPr>
      <xdr:spPr>
        <a:xfrm>
          <a:off x="9305925" y="2476500"/>
          <a:ext cx="2695575" cy="600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3</xdr:row>
      <xdr:rowOff>85725</xdr:rowOff>
    </xdr:from>
    <xdr:to>
      <xdr:col>12</xdr:col>
      <xdr:colOff>152400</xdr:colOff>
      <xdr:row>8</xdr:row>
      <xdr:rowOff>114300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SpPr/>
      </xdr:nvSpPr>
      <xdr:spPr>
        <a:xfrm>
          <a:off x="7715250" y="1619250"/>
          <a:ext cx="2695575" cy="790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</xdr:row>
      <xdr:rowOff>114300</xdr:rowOff>
    </xdr:from>
    <xdr:to>
      <xdr:col>7</xdr:col>
      <xdr:colOff>0</xdr:colOff>
      <xdr:row>10</xdr:row>
      <xdr:rowOff>142875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/>
      </xdr:nvSpPr>
      <xdr:spPr>
        <a:xfrm>
          <a:off x="4924425" y="2219325"/>
          <a:ext cx="2695575" cy="790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5</xdr:row>
      <xdr:rowOff>28575</xdr:rowOff>
    </xdr:from>
    <xdr:to>
      <xdr:col>12</xdr:col>
      <xdr:colOff>123825</xdr:colOff>
      <xdr:row>9</xdr:row>
      <xdr:rowOff>57150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SpPr/>
      </xdr:nvSpPr>
      <xdr:spPr>
        <a:xfrm>
          <a:off x="9439275" y="1943100"/>
          <a:ext cx="2924175" cy="790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7</xdr:row>
      <xdr:rowOff>142875</xdr:rowOff>
    </xdr:from>
    <xdr:to>
      <xdr:col>13</xdr:col>
      <xdr:colOff>476250</xdr:colOff>
      <xdr:row>11</xdr:row>
      <xdr:rowOff>38100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SpPr/>
      </xdr:nvSpPr>
      <xdr:spPr>
        <a:xfrm>
          <a:off x="10086975" y="2438400"/>
          <a:ext cx="3114675" cy="6572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5</xdr:row>
      <xdr:rowOff>0</xdr:rowOff>
    </xdr:from>
    <xdr:to>
      <xdr:col>12</xdr:col>
      <xdr:colOff>447675</xdr:colOff>
      <xdr:row>9</xdr:row>
      <xdr:rowOff>28575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SpPr/>
      </xdr:nvSpPr>
      <xdr:spPr>
        <a:xfrm>
          <a:off x="9172575" y="1914525"/>
          <a:ext cx="3409950" cy="7905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7</xdr:row>
      <xdr:rowOff>152400</xdr:rowOff>
    </xdr:from>
    <xdr:to>
      <xdr:col>11</xdr:col>
      <xdr:colOff>514350</xdr:colOff>
      <xdr:row>12</xdr:row>
      <xdr:rowOff>180975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SpPr/>
      </xdr:nvSpPr>
      <xdr:spPr>
        <a:xfrm>
          <a:off x="9239250" y="2447925"/>
          <a:ext cx="2695575" cy="981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11</xdr:row>
      <xdr:rowOff>76200</xdr:rowOff>
    </xdr:from>
    <xdr:to>
      <xdr:col>6</xdr:col>
      <xdr:colOff>114300</xdr:colOff>
      <xdr:row>16</xdr:row>
      <xdr:rowOff>104775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SpPr/>
      </xdr:nvSpPr>
      <xdr:spPr>
        <a:xfrm>
          <a:off x="5038725" y="3133725"/>
          <a:ext cx="2695575" cy="981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9</xdr:row>
      <xdr:rowOff>0</xdr:rowOff>
    </xdr:from>
    <xdr:to>
      <xdr:col>12</xdr:col>
      <xdr:colOff>295275</xdr:colOff>
      <xdr:row>16</xdr:row>
      <xdr:rowOff>47625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SpPr/>
      </xdr:nvSpPr>
      <xdr:spPr>
        <a:xfrm>
          <a:off x="9886950" y="3019425"/>
          <a:ext cx="2905125" cy="1400175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 i="1">
              <a:solidFill>
                <a:schemeClr val="tx1"/>
              </a:solidFill>
            </a:rPr>
            <a:t>DashBoard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CF6290-3573-4F2D-95FA-4B0D87058FF2}" name="Table3" displayName="Table3" ref="A2:A7" totalsRowShown="0">
  <autoFilter ref="A2:A7" xr:uid="{5DCF6290-3573-4F2D-95FA-4B0D87058FF2}"/>
  <tableColumns count="1">
    <tableColumn id="1" xr3:uid="{49E6C11E-9DD5-4633-B387-526D39B8F52E}" name="Compan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2000" b="1" i="1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2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"/>
  <sheetViews>
    <sheetView zoomScaleNormal="100" workbookViewId="0">
      <selection activeCell="A3" sqref="A3:A7"/>
    </sheetView>
  </sheetViews>
  <sheetFormatPr defaultRowHeight="15" x14ac:dyDescent="0.25"/>
  <cols>
    <col min="1" max="1" width="11.42578125" customWidth="1"/>
  </cols>
  <sheetData>
    <row r="2" spans="1:8" x14ac:dyDescent="0.25">
      <c r="A2" t="s">
        <v>149</v>
      </c>
      <c r="B2" t="s">
        <v>973</v>
      </c>
      <c r="C2" t="s">
        <v>969</v>
      </c>
      <c r="D2" t="s">
        <v>970</v>
      </c>
      <c r="E2" t="s">
        <v>971</v>
      </c>
      <c r="F2" t="s">
        <v>635</v>
      </c>
      <c r="G2" t="s">
        <v>972</v>
      </c>
      <c r="H2" t="s">
        <v>637</v>
      </c>
    </row>
    <row r="3" spans="1:8" x14ac:dyDescent="0.25">
      <c r="A3" t="s">
        <v>792</v>
      </c>
      <c r="B3" t="s">
        <v>974</v>
      </c>
    </row>
    <row r="4" spans="1:8" x14ac:dyDescent="0.25">
      <c r="A4" t="s">
        <v>790</v>
      </c>
    </row>
    <row r="5" spans="1:8" x14ac:dyDescent="0.25">
      <c r="A5" t="s">
        <v>22</v>
      </c>
    </row>
    <row r="6" spans="1:8" x14ac:dyDescent="0.25">
      <c r="A6" t="s">
        <v>55</v>
      </c>
    </row>
    <row r="7" spans="1:8" x14ac:dyDescent="0.25">
      <c r="A7" t="s">
        <v>801</v>
      </c>
    </row>
  </sheetData>
  <pageMargins left="0.7" right="0.7" top="0.75" bottom="0.75" header="0.3" footer="0.3"/>
  <pageSetup paperSize="9" orientation="landscape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6"/>
  <sheetViews>
    <sheetView showGridLines="0" tabSelected="1" zoomScale="70" zoomScaleNormal="84" workbookViewId="0">
      <selection activeCell="AA27" sqref="AA27"/>
    </sheetView>
  </sheetViews>
  <sheetFormatPr defaultRowHeight="15" x14ac:dyDescent="0.25"/>
  <sheetData>
    <row r="1" spans="1:29" ht="12.75" customHeight="1" x14ac:dyDescent="0.25">
      <c r="A1" s="49" t="s">
        <v>876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ht="11.25" hidden="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x14ac:dyDescent="0.25">
      <c r="A3" s="56" t="s">
        <v>906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 spans="1:29" ht="33" customHeight="1" x14ac:dyDescent="0.2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</row>
    <row r="5" spans="1:29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</row>
    <row r="6" spans="1:29" x14ac:dyDescent="0.2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</row>
    <row r="8" spans="1:29" x14ac:dyDescent="0.25">
      <c r="A8" t="s">
        <v>876</v>
      </c>
    </row>
    <row r="9" spans="1:29" x14ac:dyDescent="0.25">
      <c r="T9" t="s">
        <v>604</v>
      </c>
    </row>
    <row r="11" spans="1:29" x14ac:dyDescent="0.25">
      <c r="S11" t="s">
        <v>566</v>
      </c>
      <c r="AC11" t="s">
        <v>823</v>
      </c>
    </row>
    <row r="15" spans="1:29" x14ac:dyDescent="0.25">
      <c r="AC15" t="s">
        <v>1</v>
      </c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8" t="s">
        <v>1</v>
      </c>
    </row>
    <row r="29" spans="1:2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t="s">
        <v>1</v>
      </c>
    </row>
    <row r="30" spans="1:2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C30" t="s">
        <v>1</v>
      </c>
    </row>
    <row r="31" spans="1:2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 t="s">
        <v>1</v>
      </c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9" spans="19:19" x14ac:dyDescent="0.25">
      <c r="S49" t="s">
        <v>1</v>
      </c>
    </row>
    <row r="68" spans="1:25" x14ac:dyDescent="0.25">
      <c r="P68" s="24"/>
    </row>
    <row r="76" spans="1:25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</sheetData>
  <mergeCells count="2">
    <mergeCell ref="A5:N6"/>
    <mergeCell ref="A3:AB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topLeftCell="B1" workbookViewId="0">
      <selection activeCell="B1" sqref="B1:B1048576"/>
    </sheetView>
  </sheetViews>
  <sheetFormatPr defaultRowHeight="15" x14ac:dyDescent="0.25"/>
  <cols>
    <col min="2" max="4" width="9.140625" customWidth="1"/>
  </cols>
  <sheetData>
    <row r="2" spans="2:2" x14ac:dyDescent="0.25">
      <c r="B2" t="s">
        <v>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2"/>
  <sheetViews>
    <sheetView topLeftCell="A10" zoomScale="70" zoomScaleNormal="70" workbookViewId="0">
      <selection activeCell="J91" sqref="J91"/>
    </sheetView>
  </sheetViews>
  <sheetFormatPr defaultRowHeight="26.25" x14ac:dyDescent="0.25"/>
  <cols>
    <col min="1" max="1" width="73.85546875" style="43" customWidth="1"/>
    <col min="2" max="2" width="31.42578125" style="42" customWidth="1"/>
    <col min="3" max="3" width="9.140625" style="28" customWidth="1"/>
    <col min="4" max="4" width="9.140625" style="28"/>
    <col min="5" max="5" width="17.140625" style="28" customWidth="1"/>
    <col min="6" max="6" width="14.85546875" style="28" customWidth="1"/>
    <col min="7" max="16384" width="9.140625" style="28"/>
  </cols>
  <sheetData>
    <row r="1" spans="1:6" s="53" customFormat="1" ht="54" customHeight="1" x14ac:dyDescent="0.25">
      <c r="A1" s="51" t="s">
        <v>1055</v>
      </c>
      <c r="B1" s="51" t="s">
        <v>564</v>
      </c>
      <c r="C1" s="52" t="s">
        <v>634</v>
      </c>
      <c r="D1" s="52" t="s">
        <v>635</v>
      </c>
      <c r="E1" s="52" t="s">
        <v>636</v>
      </c>
      <c r="F1" s="51" t="s">
        <v>637</v>
      </c>
    </row>
    <row r="2" spans="1:6" s="44" customFormat="1" x14ac:dyDescent="0.25">
      <c r="A2" s="43" t="s">
        <v>481</v>
      </c>
      <c r="B2" s="42" t="s">
        <v>479</v>
      </c>
      <c r="F2" s="42"/>
    </row>
    <row r="3" spans="1:6" s="44" customFormat="1" x14ac:dyDescent="0.25">
      <c r="A3" s="43" t="s">
        <v>1056</v>
      </c>
      <c r="B3" s="42" t="s">
        <v>1057</v>
      </c>
      <c r="C3" s="44">
        <v>5</v>
      </c>
      <c r="D3" s="44">
        <v>0</v>
      </c>
      <c r="E3" s="44">
        <f>C3-D3</f>
        <v>5</v>
      </c>
      <c r="F3" s="42" t="str">
        <f>IF(E3&lt;=2,"Reorder","Available")</f>
        <v>Available</v>
      </c>
    </row>
    <row r="4" spans="1:6" s="44" customFormat="1" x14ac:dyDescent="0.25">
      <c r="A4" s="43" t="s">
        <v>1058</v>
      </c>
      <c r="B4" s="42" t="s">
        <v>1059</v>
      </c>
      <c r="C4" s="44">
        <v>5</v>
      </c>
      <c r="D4" s="44">
        <v>0</v>
      </c>
      <c r="E4" s="44">
        <f t="shared" ref="E4:E7" si="0">C4-D4</f>
        <v>5</v>
      </c>
      <c r="F4" s="42" t="str">
        <f t="shared" ref="F4:F67" si="1">IF(E4&lt;=2,"Reorder","Available")</f>
        <v>Available</v>
      </c>
    </row>
    <row r="5" spans="1:6" s="44" customFormat="1" x14ac:dyDescent="0.25">
      <c r="A5" s="43" t="s">
        <v>1060</v>
      </c>
      <c r="B5" s="42" t="s">
        <v>1061</v>
      </c>
      <c r="C5" s="44">
        <v>5</v>
      </c>
      <c r="D5" s="44">
        <v>0</v>
      </c>
      <c r="E5" s="44">
        <f t="shared" si="0"/>
        <v>5</v>
      </c>
      <c r="F5" s="42" t="str">
        <f t="shared" si="1"/>
        <v>Available</v>
      </c>
    </row>
    <row r="6" spans="1:6" s="44" customFormat="1" x14ac:dyDescent="0.25">
      <c r="A6" s="43" t="s">
        <v>1032</v>
      </c>
      <c r="B6" s="42" t="s">
        <v>1033</v>
      </c>
      <c r="E6" s="44">
        <f t="shared" si="0"/>
        <v>0</v>
      </c>
      <c r="F6" s="42" t="str">
        <f t="shared" si="1"/>
        <v>Reorder</v>
      </c>
    </row>
    <row r="7" spans="1:6" s="44" customFormat="1" x14ac:dyDescent="0.25">
      <c r="A7" s="43" t="s">
        <v>1018</v>
      </c>
      <c r="B7" s="42">
        <v>350</v>
      </c>
      <c r="C7" s="44">
        <v>1</v>
      </c>
      <c r="D7" s="44">
        <v>0</v>
      </c>
      <c r="E7" s="44">
        <f t="shared" si="0"/>
        <v>1</v>
      </c>
      <c r="F7" s="42" t="str">
        <f t="shared" si="1"/>
        <v>Reorder</v>
      </c>
    </row>
    <row r="8" spans="1:6" s="44" customFormat="1" x14ac:dyDescent="0.25">
      <c r="A8" s="43" t="s">
        <v>1001</v>
      </c>
      <c r="B8" s="42">
        <v>350</v>
      </c>
      <c r="C8" s="44">
        <v>5</v>
      </c>
      <c r="D8" s="44">
        <v>0</v>
      </c>
      <c r="E8" s="44">
        <f t="shared" ref="E8:E13" si="2">C8-D8</f>
        <v>5</v>
      </c>
      <c r="F8" s="42" t="str">
        <f t="shared" si="1"/>
        <v>Available</v>
      </c>
    </row>
    <row r="9" spans="1:6" s="44" customFormat="1" x14ac:dyDescent="0.25">
      <c r="A9" s="45" t="s">
        <v>480</v>
      </c>
      <c r="B9" s="42" t="s">
        <v>997</v>
      </c>
      <c r="C9" s="44">
        <v>3</v>
      </c>
      <c r="D9" s="44">
        <v>0</v>
      </c>
      <c r="E9" s="44">
        <f t="shared" si="2"/>
        <v>3</v>
      </c>
      <c r="F9" s="42" t="str">
        <f t="shared" si="1"/>
        <v>Available</v>
      </c>
    </row>
    <row r="10" spans="1:6" s="44" customFormat="1" x14ac:dyDescent="0.25">
      <c r="A10" s="45" t="s">
        <v>870</v>
      </c>
      <c r="B10" s="42" t="s">
        <v>521</v>
      </c>
      <c r="C10" s="44">
        <v>12</v>
      </c>
      <c r="D10" s="44">
        <v>5</v>
      </c>
      <c r="E10" s="44">
        <f t="shared" si="2"/>
        <v>7</v>
      </c>
      <c r="F10" s="42" t="str">
        <f t="shared" si="1"/>
        <v>Available</v>
      </c>
    </row>
    <row r="11" spans="1:6" s="44" customFormat="1" x14ac:dyDescent="0.25">
      <c r="A11" s="45" t="s">
        <v>648</v>
      </c>
      <c r="B11" s="42" t="s">
        <v>479</v>
      </c>
      <c r="C11" s="44">
        <v>2</v>
      </c>
      <c r="D11" s="44">
        <v>2</v>
      </c>
      <c r="E11" s="44">
        <f t="shared" si="2"/>
        <v>0</v>
      </c>
      <c r="F11" s="42" t="str">
        <f t="shared" si="1"/>
        <v>Reorder</v>
      </c>
    </row>
    <row r="12" spans="1:6" s="44" customFormat="1" x14ac:dyDescent="0.25">
      <c r="A12" s="45" t="s">
        <v>482</v>
      </c>
      <c r="B12" s="46" t="s">
        <v>483</v>
      </c>
      <c r="C12" s="44">
        <v>50</v>
      </c>
      <c r="D12" s="44">
        <v>0</v>
      </c>
      <c r="E12" s="44">
        <f t="shared" si="2"/>
        <v>50</v>
      </c>
      <c r="F12" s="42" t="str">
        <f t="shared" si="1"/>
        <v>Available</v>
      </c>
    </row>
    <row r="13" spans="1:6" s="44" customFormat="1" x14ac:dyDescent="0.25">
      <c r="A13" s="45" t="s">
        <v>595</v>
      </c>
      <c r="B13" s="46" t="s">
        <v>594</v>
      </c>
      <c r="C13" s="44">
        <v>15</v>
      </c>
      <c r="D13" s="44">
        <v>0</v>
      </c>
      <c r="E13" s="44">
        <f t="shared" si="2"/>
        <v>15</v>
      </c>
      <c r="F13" s="42" t="str">
        <f t="shared" si="1"/>
        <v>Available</v>
      </c>
    </row>
    <row r="14" spans="1:6" s="44" customFormat="1" x14ac:dyDescent="0.25">
      <c r="A14" s="45" t="s">
        <v>855</v>
      </c>
      <c r="B14" s="46" t="s">
        <v>596</v>
      </c>
      <c r="C14" s="44">
        <v>23</v>
      </c>
      <c r="D14" s="44">
        <v>0</v>
      </c>
      <c r="E14" s="44">
        <f t="shared" ref="E14:E87" si="3">C14-D14</f>
        <v>23</v>
      </c>
      <c r="F14" s="42" t="str">
        <f t="shared" si="1"/>
        <v>Available</v>
      </c>
    </row>
    <row r="15" spans="1:6" s="44" customFormat="1" x14ac:dyDescent="0.25">
      <c r="A15" s="45" t="s">
        <v>856</v>
      </c>
      <c r="B15" s="46" t="s">
        <v>596</v>
      </c>
      <c r="C15" s="44">
        <v>20</v>
      </c>
      <c r="D15" s="44">
        <v>0</v>
      </c>
      <c r="E15" s="44">
        <f t="shared" si="3"/>
        <v>20</v>
      </c>
      <c r="F15" s="42" t="str">
        <f t="shared" si="1"/>
        <v>Available</v>
      </c>
    </row>
    <row r="16" spans="1:6" s="44" customFormat="1" x14ac:dyDescent="0.25">
      <c r="A16" s="45" t="s">
        <v>857</v>
      </c>
      <c r="B16" s="46" t="s">
        <v>858</v>
      </c>
      <c r="C16" s="44">
        <v>8</v>
      </c>
      <c r="D16" s="44">
        <v>2</v>
      </c>
      <c r="E16" s="44">
        <f t="shared" si="3"/>
        <v>6</v>
      </c>
      <c r="F16" s="42" t="str">
        <f t="shared" si="1"/>
        <v>Available</v>
      </c>
    </row>
    <row r="17" spans="1:6" s="44" customFormat="1" x14ac:dyDescent="0.25">
      <c r="A17" s="45" t="s">
        <v>484</v>
      </c>
      <c r="B17" s="46" t="s">
        <v>485</v>
      </c>
      <c r="C17" s="44">
        <v>12</v>
      </c>
      <c r="D17" s="44">
        <v>0</v>
      </c>
      <c r="E17" s="44">
        <f t="shared" si="3"/>
        <v>12</v>
      </c>
      <c r="F17" s="42" t="str">
        <f t="shared" si="1"/>
        <v>Available</v>
      </c>
    </row>
    <row r="18" spans="1:6" s="44" customFormat="1" x14ac:dyDescent="0.25">
      <c r="A18" s="45" t="s">
        <v>486</v>
      </c>
      <c r="B18" s="46" t="s">
        <v>487</v>
      </c>
      <c r="C18" s="44">
        <v>10</v>
      </c>
      <c r="D18" s="44">
        <v>0</v>
      </c>
      <c r="E18" s="44">
        <f>C18-D18</f>
        <v>10</v>
      </c>
      <c r="F18" s="42" t="str">
        <f t="shared" si="1"/>
        <v>Available</v>
      </c>
    </row>
    <row r="19" spans="1:6" s="44" customFormat="1" x14ac:dyDescent="0.25">
      <c r="A19" s="45" t="s">
        <v>488</v>
      </c>
      <c r="B19" s="46" t="s">
        <v>955</v>
      </c>
      <c r="C19" s="44">
        <v>14</v>
      </c>
      <c r="D19" s="44">
        <v>2</v>
      </c>
      <c r="E19" s="44">
        <f t="shared" si="3"/>
        <v>12</v>
      </c>
      <c r="F19" s="42" t="str">
        <f t="shared" si="1"/>
        <v>Available</v>
      </c>
    </row>
    <row r="20" spans="1:6" s="44" customFormat="1" x14ac:dyDescent="0.25">
      <c r="A20" s="45" t="s">
        <v>887</v>
      </c>
      <c r="B20" s="46" t="s">
        <v>888</v>
      </c>
      <c r="C20" s="44">
        <v>10</v>
      </c>
      <c r="D20" s="44">
        <v>2</v>
      </c>
      <c r="E20" s="44">
        <f t="shared" si="3"/>
        <v>8</v>
      </c>
      <c r="F20" s="42" t="str">
        <f t="shared" si="1"/>
        <v>Available</v>
      </c>
    </row>
    <row r="21" spans="1:6" s="44" customFormat="1" x14ac:dyDescent="0.25">
      <c r="A21" s="45" t="s">
        <v>489</v>
      </c>
      <c r="B21" s="46" t="s">
        <v>490</v>
      </c>
      <c r="C21" s="44">
        <v>7</v>
      </c>
      <c r="D21" s="44">
        <v>1</v>
      </c>
      <c r="E21" s="44">
        <f t="shared" si="3"/>
        <v>6</v>
      </c>
      <c r="F21" s="42" t="str">
        <f t="shared" si="1"/>
        <v>Available</v>
      </c>
    </row>
    <row r="22" spans="1:6" s="44" customFormat="1" x14ac:dyDescent="0.25">
      <c r="A22" s="45" t="s">
        <v>860</v>
      </c>
      <c r="B22" s="46">
        <v>850</v>
      </c>
      <c r="C22" s="44">
        <v>2</v>
      </c>
      <c r="D22" s="44">
        <v>0</v>
      </c>
      <c r="E22" s="44">
        <f t="shared" si="3"/>
        <v>2</v>
      </c>
      <c r="F22" s="42" t="str">
        <f t="shared" si="1"/>
        <v>Reorder</v>
      </c>
    </row>
    <row r="23" spans="1:6" s="44" customFormat="1" x14ac:dyDescent="0.25">
      <c r="A23" s="45" t="s">
        <v>859</v>
      </c>
      <c r="B23" s="42">
        <v>450</v>
      </c>
      <c r="C23" s="44">
        <v>5</v>
      </c>
      <c r="D23" s="44">
        <v>0</v>
      </c>
      <c r="E23" s="44">
        <f t="shared" si="3"/>
        <v>5</v>
      </c>
      <c r="F23" s="42" t="str">
        <f t="shared" si="1"/>
        <v>Available</v>
      </c>
    </row>
    <row r="24" spans="1:6" s="44" customFormat="1" x14ac:dyDescent="0.25">
      <c r="A24" s="45" t="s">
        <v>1065</v>
      </c>
      <c r="B24" s="46" t="s">
        <v>1066</v>
      </c>
      <c r="C24" s="44">
        <v>1</v>
      </c>
      <c r="D24" s="44">
        <v>0</v>
      </c>
      <c r="E24" s="44">
        <f t="shared" si="3"/>
        <v>1</v>
      </c>
      <c r="F24" s="42" t="str">
        <f t="shared" si="1"/>
        <v>Reorder</v>
      </c>
    </row>
    <row r="25" spans="1:6" s="44" customFormat="1" x14ac:dyDescent="0.25">
      <c r="A25" s="45" t="s">
        <v>1067</v>
      </c>
      <c r="B25" s="46" t="s">
        <v>1068</v>
      </c>
      <c r="C25" s="44">
        <v>1</v>
      </c>
      <c r="D25" s="44">
        <v>0</v>
      </c>
      <c r="E25" s="44">
        <f t="shared" si="3"/>
        <v>1</v>
      </c>
      <c r="F25" s="42" t="str">
        <f t="shared" si="1"/>
        <v>Reorder</v>
      </c>
    </row>
    <row r="26" spans="1:6" s="44" customFormat="1" x14ac:dyDescent="0.25">
      <c r="A26" s="45" t="s">
        <v>491</v>
      </c>
      <c r="B26" s="46" t="s">
        <v>985</v>
      </c>
      <c r="C26" s="44">
        <v>2</v>
      </c>
      <c r="D26" s="44">
        <v>2</v>
      </c>
      <c r="E26" s="44">
        <f t="shared" si="3"/>
        <v>0</v>
      </c>
      <c r="F26" s="42" t="str">
        <f t="shared" si="1"/>
        <v>Reorder</v>
      </c>
    </row>
    <row r="27" spans="1:6" s="44" customFormat="1" x14ac:dyDescent="0.25">
      <c r="A27" s="45" t="s">
        <v>492</v>
      </c>
      <c r="B27" s="46" t="s">
        <v>493</v>
      </c>
      <c r="C27" s="44">
        <v>4</v>
      </c>
      <c r="D27" s="44">
        <v>0</v>
      </c>
      <c r="E27" s="44">
        <f t="shared" si="3"/>
        <v>4</v>
      </c>
      <c r="F27" s="42" t="str">
        <f t="shared" si="1"/>
        <v>Available</v>
      </c>
    </row>
    <row r="28" spans="1:6" s="44" customFormat="1" x14ac:dyDescent="0.25">
      <c r="A28" s="45" t="s">
        <v>494</v>
      </c>
      <c r="B28" s="42">
        <v>130</v>
      </c>
      <c r="C28" s="44">
        <v>5</v>
      </c>
      <c r="D28" s="44">
        <v>0</v>
      </c>
      <c r="E28" s="44">
        <f t="shared" si="3"/>
        <v>5</v>
      </c>
      <c r="F28" s="42" t="str">
        <f t="shared" si="1"/>
        <v>Available</v>
      </c>
    </row>
    <row r="29" spans="1:6" s="44" customFormat="1" x14ac:dyDescent="0.25">
      <c r="A29" s="45" t="s">
        <v>511</v>
      </c>
      <c r="B29" s="46" t="s">
        <v>495</v>
      </c>
      <c r="C29" s="44">
        <v>4</v>
      </c>
      <c r="D29" s="44">
        <v>0</v>
      </c>
      <c r="E29" s="44">
        <f t="shared" si="3"/>
        <v>4</v>
      </c>
      <c r="F29" s="42" t="str">
        <f t="shared" si="1"/>
        <v>Available</v>
      </c>
    </row>
    <row r="30" spans="1:6" s="44" customFormat="1" x14ac:dyDescent="0.25">
      <c r="A30" s="45" t="s">
        <v>496</v>
      </c>
      <c r="B30" s="42">
        <v>650</v>
      </c>
      <c r="C30" s="44">
        <v>4</v>
      </c>
      <c r="D30" s="44">
        <v>0</v>
      </c>
      <c r="E30" s="44">
        <f t="shared" si="3"/>
        <v>4</v>
      </c>
      <c r="F30" s="42" t="str">
        <f t="shared" si="1"/>
        <v>Available</v>
      </c>
    </row>
    <row r="31" spans="1:6" s="44" customFormat="1" x14ac:dyDescent="0.25">
      <c r="A31" s="45" t="s">
        <v>497</v>
      </c>
      <c r="B31" s="46" t="s">
        <v>498</v>
      </c>
      <c r="C31" s="44">
        <v>4</v>
      </c>
      <c r="D31" s="44">
        <v>0</v>
      </c>
      <c r="E31" s="44">
        <f t="shared" si="3"/>
        <v>4</v>
      </c>
      <c r="F31" s="42" t="str">
        <f t="shared" si="1"/>
        <v>Available</v>
      </c>
    </row>
    <row r="32" spans="1:6" s="44" customFormat="1" x14ac:dyDescent="0.25">
      <c r="A32" s="45" t="s">
        <v>499</v>
      </c>
      <c r="B32" s="46" t="s">
        <v>500</v>
      </c>
      <c r="C32" s="44">
        <v>4</v>
      </c>
      <c r="D32" s="44">
        <v>0</v>
      </c>
      <c r="E32" s="44">
        <f t="shared" si="3"/>
        <v>4</v>
      </c>
      <c r="F32" s="42" t="str">
        <f t="shared" si="1"/>
        <v>Available</v>
      </c>
    </row>
    <row r="33" spans="1:6" s="44" customFormat="1" x14ac:dyDescent="0.25">
      <c r="A33" s="45" t="s">
        <v>501</v>
      </c>
      <c r="B33" s="46" t="s">
        <v>500</v>
      </c>
      <c r="C33" s="44">
        <v>4</v>
      </c>
      <c r="D33" s="44">
        <v>0</v>
      </c>
      <c r="E33" s="44">
        <f t="shared" si="3"/>
        <v>4</v>
      </c>
      <c r="F33" s="42" t="str">
        <f t="shared" si="1"/>
        <v>Available</v>
      </c>
    </row>
    <row r="34" spans="1:6" x14ac:dyDescent="0.25">
      <c r="A34" s="45" t="s">
        <v>504</v>
      </c>
      <c r="B34" s="46" t="s">
        <v>505</v>
      </c>
      <c r="C34" s="44">
        <v>2</v>
      </c>
      <c r="D34" s="44">
        <v>1</v>
      </c>
      <c r="E34" s="44">
        <f t="shared" si="3"/>
        <v>1</v>
      </c>
      <c r="F34" s="42" t="str">
        <f t="shared" si="1"/>
        <v>Reorder</v>
      </c>
    </row>
    <row r="35" spans="1:6" x14ac:dyDescent="0.25">
      <c r="A35" s="45" t="s">
        <v>506</v>
      </c>
      <c r="B35" s="46" t="s">
        <v>505</v>
      </c>
      <c r="C35" s="44">
        <v>4</v>
      </c>
      <c r="D35" s="44">
        <v>0</v>
      </c>
      <c r="E35" s="44">
        <f t="shared" si="3"/>
        <v>4</v>
      </c>
      <c r="F35" s="42" t="str">
        <f t="shared" si="1"/>
        <v>Available</v>
      </c>
    </row>
    <row r="36" spans="1:6" x14ac:dyDescent="0.25">
      <c r="A36" s="45" t="s">
        <v>507</v>
      </c>
      <c r="B36" s="46" t="s">
        <v>508</v>
      </c>
      <c r="C36" s="44">
        <v>4</v>
      </c>
      <c r="D36" s="44">
        <v>0</v>
      </c>
      <c r="E36" s="44">
        <f t="shared" si="3"/>
        <v>4</v>
      </c>
      <c r="F36" s="42" t="str">
        <f t="shared" si="1"/>
        <v>Available</v>
      </c>
    </row>
    <row r="37" spans="1:6" x14ac:dyDescent="0.25">
      <c r="A37" s="45" t="s">
        <v>567</v>
      </c>
      <c r="B37" s="46" t="s">
        <v>505</v>
      </c>
      <c r="C37" s="44">
        <v>4</v>
      </c>
      <c r="D37" s="44">
        <v>0</v>
      </c>
      <c r="E37" s="44">
        <f t="shared" si="3"/>
        <v>4</v>
      </c>
      <c r="F37" s="42" t="str">
        <f t="shared" si="1"/>
        <v>Available</v>
      </c>
    </row>
    <row r="38" spans="1:6" x14ac:dyDescent="0.25">
      <c r="A38" s="45" t="s">
        <v>923</v>
      </c>
      <c r="B38" s="46" t="s">
        <v>505</v>
      </c>
      <c r="C38" s="44">
        <v>10</v>
      </c>
      <c r="D38" s="44">
        <v>0</v>
      </c>
      <c r="E38" s="44">
        <f t="shared" si="3"/>
        <v>10</v>
      </c>
      <c r="F38" s="42" t="str">
        <f t="shared" si="1"/>
        <v>Available</v>
      </c>
    </row>
    <row r="39" spans="1:6" x14ac:dyDescent="0.25">
      <c r="A39" s="45" t="s">
        <v>924</v>
      </c>
      <c r="B39" s="46" t="s">
        <v>505</v>
      </c>
      <c r="C39" s="44">
        <v>10</v>
      </c>
      <c r="D39" s="44">
        <v>0</v>
      </c>
      <c r="E39" s="44">
        <f t="shared" si="3"/>
        <v>10</v>
      </c>
      <c r="F39" s="42" t="str">
        <f t="shared" si="1"/>
        <v>Available</v>
      </c>
    </row>
    <row r="40" spans="1:6" x14ac:dyDescent="0.25">
      <c r="A40" s="45" t="s">
        <v>503</v>
      </c>
      <c r="B40" s="46" t="s">
        <v>569</v>
      </c>
      <c r="C40" s="44">
        <v>18</v>
      </c>
      <c r="D40" s="44">
        <v>3</v>
      </c>
      <c r="E40" s="44">
        <f t="shared" si="3"/>
        <v>15</v>
      </c>
      <c r="F40" s="42" t="str">
        <f t="shared" si="1"/>
        <v>Available</v>
      </c>
    </row>
    <row r="41" spans="1:6" x14ac:dyDescent="0.25">
      <c r="A41" s="45" t="s">
        <v>509</v>
      </c>
      <c r="B41" s="46" t="s">
        <v>510</v>
      </c>
      <c r="C41" s="44">
        <v>4</v>
      </c>
      <c r="D41" s="44">
        <v>0</v>
      </c>
      <c r="E41" s="44">
        <f t="shared" si="3"/>
        <v>4</v>
      </c>
      <c r="F41" s="42" t="str">
        <f t="shared" si="1"/>
        <v>Available</v>
      </c>
    </row>
    <row r="42" spans="1:6" x14ac:dyDescent="0.25">
      <c r="A42" s="45" t="s">
        <v>502</v>
      </c>
      <c r="B42" s="46" t="s">
        <v>605</v>
      </c>
      <c r="C42" s="44">
        <v>10</v>
      </c>
      <c r="D42" s="44">
        <v>3</v>
      </c>
      <c r="E42" s="44">
        <f t="shared" si="3"/>
        <v>7</v>
      </c>
      <c r="F42" s="42" t="str">
        <f t="shared" si="1"/>
        <v>Available</v>
      </c>
    </row>
    <row r="43" spans="1:6" x14ac:dyDescent="0.25">
      <c r="A43" s="45" t="s">
        <v>512</v>
      </c>
      <c r="B43" s="46" t="s">
        <v>869</v>
      </c>
      <c r="C43" s="44">
        <v>10</v>
      </c>
      <c r="D43" s="44">
        <v>0</v>
      </c>
      <c r="E43" s="44">
        <f t="shared" si="3"/>
        <v>10</v>
      </c>
      <c r="F43" s="42" t="str">
        <f t="shared" si="1"/>
        <v>Available</v>
      </c>
    </row>
    <row r="44" spans="1:6" x14ac:dyDescent="0.25">
      <c r="A44" s="45" t="s">
        <v>1048</v>
      </c>
      <c r="B44" s="46" t="s">
        <v>1049</v>
      </c>
      <c r="C44" s="44">
        <v>5</v>
      </c>
      <c r="D44" s="44">
        <v>2</v>
      </c>
      <c r="E44" s="44">
        <f t="shared" si="3"/>
        <v>3</v>
      </c>
      <c r="F44" s="42" t="str">
        <f t="shared" si="1"/>
        <v>Available</v>
      </c>
    </row>
    <row r="45" spans="1:6" x14ac:dyDescent="0.25">
      <c r="A45" s="45" t="s">
        <v>513</v>
      </c>
      <c r="B45" s="42" t="s">
        <v>505</v>
      </c>
      <c r="C45" s="44">
        <v>4</v>
      </c>
      <c r="D45" s="44">
        <v>1</v>
      </c>
      <c r="E45" s="44">
        <f t="shared" si="3"/>
        <v>3</v>
      </c>
      <c r="F45" s="42" t="str">
        <f t="shared" si="1"/>
        <v>Available</v>
      </c>
    </row>
    <row r="46" spans="1:6" x14ac:dyDescent="0.25">
      <c r="A46" s="45" t="s">
        <v>514</v>
      </c>
      <c r="B46" s="46" t="s">
        <v>505</v>
      </c>
      <c r="C46" s="44">
        <v>4</v>
      </c>
      <c r="D46" s="44">
        <v>0</v>
      </c>
      <c r="E46" s="44">
        <f t="shared" si="3"/>
        <v>4</v>
      </c>
      <c r="F46" s="42" t="str">
        <f t="shared" si="1"/>
        <v>Available</v>
      </c>
    </row>
    <row r="47" spans="1:6" x14ac:dyDescent="0.25">
      <c r="A47" s="45" t="s">
        <v>1005</v>
      </c>
      <c r="B47" s="46" t="s">
        <v>516</v>
      </c>
      <c r="C47" s="44">
        <v>5</v>
      </c>
      <c r="D47" s="44">
        <v>0</v>
      </c>
      <c r="E47" s="44">
        <f t="shared" si="3"/>
        <v>5</v>
      </c>
      <c r="F47" s="42" t="str">
        <f t="shared" si="1"/>
        <v>Available</v>
      </c>
    </row>
    <row r="48" spans="1:6" x14ac:dyDescent="0.25">
      <c r="A48" s="45" t="s">
        <v>515</v>
      </c>
      <c r="B48" s="46" t="s">
        <v>516</v>
      </c>
      <c r="C48" s="44">
        <v>4</v>
      </c>
      <c r="D48" s="44">
        <v>2</v>
      </c>
      <c r="E48" s="44">
        <f t="shared" si="3"/>
        <v>2</v>
      </c>
      <c r="F48" s="42" t="str">
        <f t="shared" si="1"/>
        <v>Reorder</v>
      </c>
    </row>
    <row r="49" spans="1:6" x14ac:dyDescent="0.25">
      <c r="A49" s="45" t="s">
        <v>517</v>
      </c>
      <c r="B49" s="46" t="s">
        <v>518</v>
      </c>
      <c r="C49" s="44">
        <v>4</v>
      </c>
      <c r="D49" s="44">
        <v>0</v>
      </c>
      <c r="E49" s="44">
        <f t="shared" si="3"/>
        <v>4</v>
      </c>
      <c r="F49" s="42" t="str">
        <f t="shared" si="1"/>
        <v>Available</v>
      </c>
    </row>
    <row r="50" spans="1:6" x14ac:dyDescent="0.25">
      <c r="A50" s="45" t="s">
        <v>519</v>
      </c>
      <c r="B50" s="42" t="s">
        <v>520</v>
      </c>
      <c r="C50" s="44">
        <v>4</v>
      </c>
      <c r="D50" s="44">
        <v>0</v>
      </c>
      <c r="E50" s="44">
        <f t="shared" si="3"/>
        <v>4</v>
      </c>
      <c r="F50" s="42" t="str">
        <f t="shared" si="1"/>
        <v>Available</v>
      </c>
    </row>
    <row r="51" spans="1:6" x14ac:dyDescent="0.25">
      <c r="A51" s="45" t="s">
        <v>578</v>
      </c>
      <c r="B51" s="42" t="s">
        <v>886</v>
      </c>
      <c r="C51" s="44">
        <v>5</v>
      </c>
      <c r="D51" s="44">
        <v>0</v>
      </c>
      <c r="E51" s="44">
        <f t="shared" si="3"/>
        <v>5</v>
      </c>
      <c r="F51" s="42" t="str">
        <f t="shared" si="1"/>
        <v>Available</v>
      </c>
    </row>
    <row r="52" spans="1:6" x14ac:dyDescent="0.25">
      <c r="A52" s="45" t="s">
        <v>987</v>
      </c>
      <c r="B52" s="46" t="s">
        <v>917</v>
      </c>
      <c r="C52" s="44">
        <v>4</v>
      </c>
      <c r="D52" s="44">
        <v>1</v>
      </c>
      <c r="E52" s="44">
        <f t="shared" si="3"/>
        <v>3</v>
      </c>
      <c r="F52" s="42" t="str">
        <f t="shared" si="1"/>
        <v>Available</v>
      </c>
    </row>
    <row r="53" spans="1:6" x14ac:dyDescent="0.25">
      <c r="A53" s="45" t="s">
        <v>988</v>
      </c>
      <c r="B53" s="46" t="s">
        <v>529</v>
      </c>
      <c r="C53" s="44">
        <v>3</v>
      </c>
      <c r="D53" s="44">
        <v>3</v>
      </c>
      <c r="E53" s="44">
        <f t="shared" si="3"/>
        <v>0</v>
      </c>
      <c r="F53" s="42" t="str">
        <f t="shared" si="1"/>
        <v>Reorder</v>
      </c>
    </row>
    <row r="54" spans="1:6" x14ac:dyDescent="0.25">
      <c r="A54" s="45" t="s">
        <v>1040</v>
      </c>
      <c r="B54" s="46" t="s">
        <v>1041</v>
      </c>
      <c r="C54" s="44">
        <v>3</v>
      </c>
      <c r="D54" s="44">
        <v>3</v>
      </c>
      <c r="E54" s="44">
        <f t="shared" si="3"/>
        <v>0</v>
      </c>
      <c r="F54" s="42" t="str">
        <f t="shared" si="1"/>
        <v>Reorder</v>
      </c>
    </row>
    <row r="55" spans="1:6" x14ac:dyDescent="0.25">
      <c r="A55" s="45" t="s">
        <v>1003</v>
      </c>
      <c r="B55" s="46" t="s">
        <v>1002</v>
      </c>
      <c r="C55" s="44">
        <v>12</v>
      </c>
      <c r="D55" s="44">
        <v>0</v>
      </c>
      <c r="E55" s="44">
        <f t="shared" si="3"/>
        <v>12</v>
      </c>
      <c r="F55" s="42" t="str">
        <f t="shared" si="1"/>
        <v>Available</v>
      </c>
    </row>
    <row r="56" spans="1:6" x14ac:dyDescent="0.25">
      <c r="A56" s="45" t="s">
        <v>522</v>
      </c>
      <c r="B56" s="46">
        <v>550</v>
      </c>
      <c r="C56" s="44">
        <v>1</v>
      </c>
      <c r="D56" s="44">
        <v>1</v>
      </c>
      <c r="E56" s="44">
        <f t="shared" si="3"/>
        <v>0</v>
      </c>
      <c r="F56" s="42" t="str">
        <f t="shared" si="1"/>
        <v>Reorder</v>
      </c>
    </row>
    <row r="57" spans="1:6" x14ac:dyDescent="0.25">
      <c r="A57" s="45" t="s">
        <v>525</v>
      </c>
      <c r="B57" s="46">
        <v>850</v>
      </c>
      <c r="C57" s="44">
        <v>3</v>
      </c>
      <c r="D57" s="44">
        <v>0</v>
      </c>
      <c r="E57" s="44">
        <f t="shared" si="3"/>
        <v>3</v>
      </c>
      <c r="F57" s="42" t="str">
        <f t="shared" si="1"/>
        <v>Available</v>
      </c>
    </row>
    <row r="58" spans="1:6" x14ac:dyDescent="0.25">
      <c r="A58" s="45" t="s">
        <v>1021</v>
      </c>
      <c r="B58" s="46">
        <v>1300</v>
      </c>
      <c r="C58" s="44">
        <v>3</v>
      </c>
      <c r="D58" s="44">
        <v>2</v>
      </c>
      <c r="E58" s="44">
        <f t="shared" si="3"/>
        <v>1</v>
      </c>
      <c r="F58" s="42" t="str">
        <f t="shared" si="1"/>
        <v>Reorder</v>
      </c>
    </row>
    <row r="59" spans="1:6" x14ac:dyDescent="0.25">
      <c r="A59" s="45" t="s">
        <v>523</v>
      </c>
      <c r="B59" s="46">
        <v>550</v>
      </c>
      <c r="C59" s="44">
        <v>1</v>
      </c>
      <c r="D59" s="44">
        <v>1</v>
      </c>
      <c r="E59" s="44">
        <f t="shared" si="3"/>
        <v>0</v>
      </c>
      <c r="F59" s="42" t="str">
        <f t="shared" si="1"/>
        <v>Reorder</v>
      </c>
    </row>
    <row r="60" spans="1:6" x14ac:dyDescent="0.25">
      <c r="A60" s="45" t="s">
        <v>524</v>
      </c>
      <c r="B60" s="46">
        <v>550</v>
      </c>
      <c r="C60" s="44">
        <v>1</v>
      </c>
      <c r="D60" s="44">
        <v>0</v>
      </c>
      <c r="E60" s="44">
        <f t="shared" si="3"/>
        <v>1</v>
      </c>
      <c r="F60" s="42" t="str">
        <f t="shared" si="1"/>
        <v>Reorder</v>
      </c>
    </row>
    <row r="61" spans="1:6" x14ac:dyDescent="0.25">
      <c r="A61" s="45" t="s">
        <v>526</v>
      </c>
      <c r="B61" s="46">
        <v>450</v>
      </c>
      <c r="C61" s="44">
        <v>1</v>
      </c>
      <c r="D61" s="44">
        <v>0</v>
      </c>
      <c r="E61" s="44">
        <f t="shared" si="3"/>
        <v>1</v>
      </c>
      <c r="F61" s="42" t="str">
        <f t="shared" si="1"/>
        <v>Reorder</v>
      </c>
    </row>
    <row r="62" spans="1:6" x14ac:dyDescent="0.25">
      <c r="A62" s="45" t="s">
        <v>527</v>
      </c>
      <c r="B62" s="46">
        <v>550</v>
      </c>
      <c r="C62" s="44">
        <v>1</v>
      </c>
      <c r="D62" s="44">
        <v>0</v>
      </c>
      <c r="E62" s="44">
        <f t="shared" si="3"/>
        <v>1</v>
      </c>
      <c r="F62" s="42" t="str">
        <f t="shared" si="1"/>
        <v>Reorder</v>
      </c>
    </row>
    <row r="63" spans="1:6" x14ac:dyDescent="0.25">
      <c r="A63" s="45" t="s">
        <v>528</v>
      </c>
      <c r="B63" s="42" t="s">
        <v>529</v>
      </c>
      <c r="C63" s="44">
        <v>4</v>
      </c>
      <c r="D63" s="44">
        <v>0</v>
      </c>
      <c r="E63" s="44">
        <f t="shared" si="3"/>
        <v>4</v>
      </c>
      <c r="F63" s="42" t="str">
        <f t="shared" si="1"/>
        <v>Available</v>
      </c>
    </row>
    <row r="64" spans="1:6" x14ac:dyDescent="0.25">
      <c r="A64" s="45" t="s">
        <v>530</v>
      </c>
      <c r="B64" s="42" t="s">
        <v>531</v>
      </c>
      <c r="C64" s="44">
        <v>4</v>
      </c>
      <c r="D64" s="44">
        <v>0</v>
      </c>
      <c r="E64" s="44">
        <f t="shared" si="3"/>
        <v>4</v>
      </c>
      <c r="F64" s="42" t="str">
        <f t="shared" si="1"/>
        <v>Available</v>
      </c>
    </row>
    <row r="65" spans="1:6" x14ac:dyDescent="0.25">
      <c r="A65" s="45" t="s">
        <v>532</v>
      </c>
      <c r="B65" s="42" t="s">
        <v>533</v>
      </c>
      <c r="C65" s="44">
        <v>4</v>
      </c>
      <c r="D65" s="44">
        <v>0</v>
      </c>
      <c r="E65" s="44">
        <f t="shared" si="3"/>
        <v>4</v>
      </c>
      <c r="F65" s="42" t="str">
        <f t="shared" si="1"/>
        <v>Available</v>
      </c>
    </row>
    <row r="66" spans="1:6" x14ac:dyDescent="0.25">
      <c r="A66" s="45" t="s">
        <v>534</v>
      </c>
      <c r="B66" s="46" t="s">
        <v>535</v>
      </c>
      <c r="C66" s="44">
        <v>4</v>
      </c>
      <c r="D66" s="44">
        <v>0</v>
      </c>
      <c r="E66" s="44">
        <f t="shared" si="3"/>
        <v>4</v>
      </c>
      <c r="F66" s="42" t="str">
        <f t="shared" si="1"/>
        <v>Available</v>
      </c>
    </row>
    <row r="67" spans="1:6" x14ac:dyDescent="0.25">
      <c r="A67" s="45" t="s">
        <v>536</v>
      </c>
      <c r="B67" s="46" t="s">
        <v>537</v>
      </c>
      <c r="C67" s="44">
        <v>4</v>
      </c>
      <c r="D67" s="44">
        <v>0</v>
      </c>
      <c r="E67" s="44">
        <f t="shared" si="3"/>
        <v>4</v>
      </c>
      <c r="F67" s="42" t="str">
        <f t="shared" si="1"/>
        <v>Available</v>
      </c>
    </row>
    <row r="68" spans="1:6" x14ac:dyDescent="0.25">
      <c r="A68" s="45" t="s">
        <v>538</v>
      </c>
      <c r="B68" s="46" t="s">
        <v>539</v>
      </c>
      <c r="C68" s="44">
        <v>4</v>
      </c>
      <c r="D68" s="44">
        <v>0</v>
      </c>
      <c r="E68" s="44">
        <f t="shared" si="3"/>
        <v>4</v>
      </c>
      <c r="F68" s="42" t="str">
        <f t="shared" ref="F68:F111" si="4">IF(E68&lt;=2,"Reorder","Available")</f>
        <v>Available</v>
      </c>
    </row>
    <row r="69" spans="1:6" x14ac:dyDescent="0.25">
      <c r="A69" s="45" t="s">
        <v>540</v>
      </c>
      <c r="B69" s="46" t="s">
        <v>541</v>
      </c>
      <c r="C69" s="44">
        <v>4</v>
      </c>
      <c r="D69" s="44">
        <v>0</v>
      </c>
      <c r="E69" s="44">
        <f t="shared" si="3"/>
        <v>4</v>
      </c>
      <c r="F69" s="42" t="str">
        <f t="shared" si="4"/>
        <v>Available</v>
      </c>
    </row>
    <row r="70" spans="1:6" x14ac:dyDescent="0.25">
      <c r="A70" s="45" t="s">
        <v>543</v>
      </c>
      <c r="B70" s="46" t="s">
        <v>542</v>
      </c>
      <c r="C70" s="44">
        <v>4</v>
      </c>
      <c r="D70" s="44">
        <v>0</v>
      </c>
      <c r="E70" s="44">
        <f t="shared" si="3"/>
        <v>4</v>
      </c>
      <c r="F70" s="42" t="str">
        <f t="shared" si="4"/>
        <v>Available</v>
      </c>
    </row>
    <row r="71" spans="1:6" x14ac:dyDescent="0.25">
      <c r="A71" s="45" t="s">
        <v>544</v>
      </c>
      <c r="B71" s="46" t="s">
        <v>537</v>
      </c>
      <c r="C71" s="44">
        <v>4</v>
      </c>
      <c r="D71" s="44">
        <v>0</v>
      </c>
      <c r="E71" s="44">
        <f t="shared" si="3"/>
        <v>4</v>
      </c>
      <c r="F71" s="42" t="str">
        <f t="shared" si="4"/>
        <v>Available</v>
      </c>
    </row>
    <row r="72" spans="1:6" x14ac:dyDescent="0.25">
      <c r="A72" s="45" t="s">
        <v>545</v>
      </c>
      <c r="B72" s="46" t="s">
        <v>546</v>
      </c>
      <c r="C72" s="44">
        <v>4</v>
      </c>
      <c r="D72" s="44">
        <v>0</v>
      </c>
      <c r="E72" s="44">
        <f t="shared" si="3"/>
        <v>4</v>
      </c>
      <c r="F72" s="42" t="str">
        <f t="shared" si="4"/>
        <v>Available</v>
      </c>
    </row>
    <row r="73" spans="1:6" x14ac:dyDescent="0.25">
      <c r="A73" s="45" t="s">
        <v>547</v>
      </c>
      <c r="B73" s="46" t="s">
        <v>548</v>
      </c>
      <c r="C73" s="44">
        <v>20</v>
      </c>
      <c r="D73" s="44">
        <v>0</v>
      </c>
      <c r="E73" s="44">
        <f t="shared" si="3"/>
        <v>20</v>
      </c>
      <c r="F73" s="42" t="str">
        <f t="shared" si="4"/>
        <v>Available</v>
      </c>
    </row>
    <row r="74" spans="1:6" x14ac:dyDescent="0.25">
      <c r="A74" s="45" t="s">
        <v>549</v>
      </c>
      <c r="B74" s="46">
        <v>2300</v>
      </c>
      <c r="C74" s="44">
        <v>4</v>
      </c>
      <c r="D74" s="44">
        <v>0</v>
      </c>
      <c r="E74" s="44">
        <f t="shared" si="3"/>
        <v>4</v>
      </c>
      <c r="F74" s="42" t="str">
        <f t="shared" si="4"/>
        <v>Available</v>
      </c>
    </row>
    <row r="75" spans="1:6" x14ac:dyDescent="0.25">
      <c r="A75" s="45" t="s">
        <v>550</v>
      </c>
      <c r="B75" s="46" t="s">
        <v>551</v>
      </c>
      <c r="C75" s="44">
        <v>4</v>
      </c>
      <c r="D75" s="44">
        <v>0</v>
      </c>
      <c r="E75" s="44">
        <f t="shared" si="3"/>
        <v>4</v>
      </c>
      <c r="F75" s="42" t="str">
        <f t="shared" si="4"/>
        <v>Available</v>
      </c>
    </row>
    <row r="76" spans="1:6" x14ac:dyDescent="0.25">
      <c r="A76" s="45" t="s">
        <v>552</v>
      </c>
      <c r="B76" s="46" t="s">
        <v>553</v>
      </c>
      <c r="C76" s="44">
        <v>4</v>
      </c>
      <c r="D76" s="44">
        <v>0</v>
      </c>
      <c r="E76" s="44">
        <f t="shared" si="3"/>
        <v>4</v>
      </c>
      <c r="F76" s="42" t="str">
        <f t="shared" si="4"/>
        <v>Available</v>
      </c>
    </row>
    <row r="77" spans="1:6" x14ac:dyDescent="0.25">
      <c r="A77" s="45" t="s">
        <v>554</v>
      </c>
      <c r="B77" s="46" t="s">
        <v>555</v>
      </c>
      <c r="C77" s="44">
        <v>4</v>
      </c>
      <c r="D77" s="44">
        <v>0</v>
      </c>
      <c r="E77" s="44">
        <f t="shared" si="3"/>
        <v>4</v>
      </c>
      <c r="F77" s="42" t="str">
        <f t="shared" si="4"/>
        <v>Available</v>
      </c>
    </row>
    <row r="78" spans="1:6" x14ac:dyDescent="0.25">
      <c r="A78" s="45" t="s">
        <v>556</v>
      </c>
      <c r="B78" s="46" t="s">
        <v>557</v>
      </c>
      <c r="C78" s="44">
        <v>4</v>
      </c>
      <c r="D78" s="44">
        <v>0</v>
      </c>
      <c r="E78" s="44">
        <f t="shared" si="3"/>
        <v>4</v>
      </c>
      <c r="F78" s="42" t="str">
        <f t="shared" si="4"/>
        <v>Available</v>
      </c>
    </row>
    <row r="79" spans="1:6" x14ac:dyDescent="0.25">
      <c r="A79" s="45" t="s">
        <v>558</v>
      </c>
      <c r="B79" s="46" t="s">
        <v>557</v>
      </c>
      <c r="C79" s="44">
        <v>4</v>
      </c>
      <c r="D79" s="44">
        <v>0</v>
      </c>
      <c r="E79" s="44">
        <f t="shared" si="3"/>
        <v>4</v>
      </c>
      <c r="F79" s="42" t="str">
        <f t="shared" si="4"/>
        <v>Available</v>
      </c>
    </row>
    <row r="80" spans="1:6" x14ac:dyDescent="0.25">
      <c r="A80" s="45" t="s">
        <v>559</v>
      </c>
      <c r="B80" s="46" t="s">
        <v>560</v>
      </c>
      <c r="C80" s="44">
        <v>4</v>
      </c>
      <c r="D80" s="44">
        <v>0</v>
      </c>
      <c r="E80" s="44">
        <f t="shared" si="3"/>
        <v>4</v>
      </c>
      <c r="F80" s="42" t="str">
        <f t="shared" si="4"/>
        <v>Available</v>
      </c>
    </row>
    <row r="81" spans="1:6" x14ac:dyDescent="0.25">
      <c r="A81" s="45" t="s">
        <v>561</v>
      </c>
      <c r="B81" s="46" t="s">
        <v>562</v>
      </c>
      <c r="C81" s="44">
        <v>5</v>
      </c>
      <c r="D81" s="44">
        <v>3</v>
      </c>
      <c r="E81" s="44">
        <f t="shared" si="3"/>
        <v>2</v>
      </c>
      <c r="F81" s="42" t="str">
        <f t="shared" si="4"/>
        <v>Reorder</v>
      </c>
    </row>
    <row r="82" spans="1:6" x14ac:dyDescent="0.25">
      <c r="A82" s="45" t="s">
        <v>563</v>
      </c>
      <c r="B82" s="42">
        <v>1100</v>
      </c>
      <c r="C82" s="44">
        <v>4</v>
      </c>
      <c r="D82" s="44">
        <v>0</v>
      </c>
      <c r="E82" s="44">
        <f t="shared" si="3"/>
        <v>4</v>
      </c>
      <c r="F82" s="42" t="str">
        <f t="shared" si="4"/>
        <v>Available</v>
      </c>
    </row>
    <row r="83" spans="1:6" x14ac:dyDescent="0.25">
      <c r="A83" s="43" t="s">
        <v>570</v>
      </c>
      <c r="B83" s="42" t="s">
        <v>1046</v>
      </c>
      <c r="C83" s="44">
        <v>10</v>
      </c>
      <c r="D83" s="44">
        <v>0</v>
      </c>
      <c r="E83" s="44">
        <f t="shared" si="3"/>
        <v>10</v>
      </c>
      <c r="F83" s="42" t="str">
        <f t="shared" si="4"/>
        <v>Available</v>
      </c>
    </row>
    <row r="84" spans="1:6" x14ac:dyDescent="0.25">
      <c r="A84" s="43" t="s">
        <v>571</v>
      </c>
      <c r="B84" s="42" t="s">
        <v>572</v>
      </c>
      <c r="C84" s="44">
        <v>10</v>
      </c>
      <c r="D84" s="44">
        <v>2</v>
      </c>
      <c r="E84" s="44">
        <f t="shared" si="3"/>
        <v>8</v>
      </c>
      <c r="F84" s="42" t="str">
        <f t="shared" si="4"/>
        <v>Available</v>
      </c>
    </row>
    <row r="85" spans="1:6" x14ac:dyDescent="0.25">
      <c r="A85" s="43" t="s">
        <v>573</v>
      </c>
      <c r="B85" s="42" t="s">
        <v>1046</v>
      </c>
      <c r="C85" s="44">
        <v>10</v>
      </c>
      <c r="D85" s="44">
        <v>2</v>
      </c>
      <c r="E85" s="44">
        <f t="shared" si="3"/>
        <v>8</v>
      </c>
      <c r="F85" s="42" t="str">
        <f t="shared" si="4"/>
        <v>Available</v>
      </c>
    </row>
    <row r="86" spans="1:6" x14ac:dyDescent="0.25">
      <c r="A86" s="43" t="s">
        <v>574</v>
      </c>
      <c r="B86" s="42" t="s">
        <v>947</v>
      </c>
      <c r="C86" s="44">
        <v>5</v>
      </c>
      <c r="D86" s="44">
        <v>0</v>
      </c>
      <c r="E86" s="44">
        <f t="shared" si="3"/>
        <v>5</v>
      </c>
      <c r="F86" s="42" t="str">
        <f t="shared" si="4"/>
        <v>Available</v>
      </c>
    </row>
    <row r="87" spans="1:6" x14ac:dyDescent="0.25">
      <c r="A87" s="43" t="s">
        <v>575</v>
      </c>
      <c r="B87" s="42" t="s">
        <v>572</v>
      </c>
      <c r="C87" s="44">
        <v>2</v>
      </c>
      <c r="D87" s="44">
        <v>1</v>
      </c>
      <c r="E87" s="44">
        <f t="shared" si="3"/>
        <v>1</v>
      </c>
      <c r="F87" s="42" t="str">
        <f t="shared" si="4"/>
        <v>Reorder</v>
      </c>
    </row>
    <row r="88" spans="1:6" x14ac:dyDescent="0.25">
      <c r="A88" s="43" t="s">
        <v>585</v>
      </c>
      <c r="B88" s="42">
        <v>70</v>
      </c>
      <c r="C88" s="44">
        <v>4</v>
      </c>
      <c r="D88" s="44">
        <v>0</v>
      </c>
      <c r="E88" s="44">
        <f t="shared" ref="E88:E99" si="5">C88-D88</f>
        <v>4</v>
      </c>
      <c r="F88" s="42" t="str">
        <f t="shared" si="4"/>
        <v>Available</v>
      </c>
    </row>
    <row r="89" spans="1:6" x14ac:dyDescent="0.25">
      <c r="A89" s="43" t="s">
        <v>598</v>
      </c>
      <c r="B89" s="42" t="s">
        <v>1039</v>
      </c>
      <c r="C89" s="44">
        <v>10</v>
      </c>
      <c r="D89" s="44">
        <v>0</v>
      </c>
      <c r="E89" s="44">
        <f t="shared" si="5"/>
        <v>10</v>
      </c>
      <c r="F89" s="42" t="str">
        <f t="shared" si="4"/>
        <v>Available</v>
      </c>
    </row>
    <row r="90" spans="1:6" x14ac:dyDescent="0.25">
      <c r="A90" s="43" t="s">
        <v>599</v>
      </c>
      <c r="B90" s="42" t="s">
        <v>600</v>
      </c>
      <c r="C90" s="44">
        <v>4</v>
      </c>
      <c r="D90" s="44">
        <v>0</v>
      </c>
      <c r="E90" s="44">
        <f t="shared" si="5"/>
        <v>4</v>
      </c>
      <c r="F90" s="42" t="str">
        <f t="shared" si="4"/>
        <v>Available</v>
      </c>
    </row>
    <row r="91" spans="1:6" x14ac:dyDescent="0.25">
      <c r="A91" s="43" t="s">
        <v>900</v>
      </c>
      <c r="B91" s="42" t="s">
        <v>901</v>
      </c>
      <c r="C91" s="44">
        <v>5</v>
      </c>
      <c r="D91" s="44">
        <v>3</v>
      </c>
      <c r="E91" s="44">
        <f t="shared" si="5"/>
        <v>2</v>
      </c>
      <c r="F91" s="42" t="str">
        <f t="shared" si="4"/>
        <v>Reorder</v>
      </c>
    </row>
    <row r="92" spans="1:6" x14ac:dyDescent="0.25">
      <c r="A92" s="43" t="s">
        <v>902</v>
      </c>
      <c r="B92" s="42" t="s">
        <v>605</v>
      </c>
      <c r="C92" s="44">
        <v>5</v>
      </c>
      <c r="D92" s="44">
        <v>1</v>
      </c>
      <c r="E92" s="44">
        <f t="shared" si="5"/>
        <v>4</v>
      </c>
      <c r="F92" s="42" t="str">
        <f t="shared" si="4"/>
        <v>Available</v>
      </c>
    </row>
    <row r="93" spans="1:6" x14ac:dyDescent="0.25">
      <c r="A93" s="43" t="s">
        <v>601</v>
      </c>
      <c r="B93" s="42" t="s">
        <v>483</v>
      </c>
      <c r="C93" s="44">
        <v>4</v>
      </c>
      <c r="D93" s="44">
        <v>0</v>
      </c>
      <c r="E93" s="44">
        <f t="shared" si="5"/>
        <v>4</v>
      </c>
      <c r="F93" s="42" t="str">
        <f t="shared" si="4"/>
        <v>Available</v>
      </c>
    </row>
    <row r="94" spans="1:6" x14ac:dyDescent="0.25">
      <c r="A94" s="43" t="s">
        <v>768</v>
      </c>
      <c r="B94" s="42" t="s">
        <v>773</v>
      </c>
      <c r="C94" s="44">
        <v>4</v>
      </c>
      <c r="D94" s="44">
        <v>0</v>
      </c>
      <c r="E94" s="44">
        <f t="shared" si="5"/>
        <v>4</v>
      </c>
      <c r="F94" s="42" t="str">
        <f t="shared" si="4"/>
        <v>Available</v>
      </c>
    </row>
    <row r="95" spans="1:6" x14ac:dyDescent="0.25">
      <c r="A95" s="43" t="s">
        <v>769</v>
      </c>
      <c r="B95" s="42" t="s">
        <v>773</v>
      </c>
      <c r="C95" s="44">
        <v>4</v>
      </c>
      <c r="D95" s="44">
        <v>0</v>
      </c>
      <c r="E95" s="44">
        <f t="shared" si="5"/>
        <v>4</v>
      </c>
      <c r="F95" s="42" t="str">
        <f t="shared" si="4"/>
        <v>Available</v>
      </c>
    </row>
    <row r="96" spans="1:6" x14ac:dyDescent="0.25">
      <c r="A96" s="43" t="s">
        <v>770</v>
      </c>
      <c r="B96" s="42" t="s">
        <v>773</v>
      </c>
      <c r="C96" s="44">
        <v>4</v>
      </c>
      <c r="D96" s="44">
        <v>1</v>
      </c>
      <c r="E96" s="44">
        <f t="shared" si="5"/>
        <v>3</v>
      </c>
      <c r="F96" s="42" t="str">
        <f t="shared" si="4"/>
        <v>Available</v>
      </c>
    </row>
    <row r="97" spans="1:6" x14ac:dyDescent="0.25">
      <c r="A97" s="43" t="s">
        <v>771</v>
      </c>
      <c r="B97" s="42" t="s">
        <v>773</v>
      </c>
      <c r="C97" s="44">
        <v>4</v>
      </c>
      <c r="D97" s="44">
        <v>0</v>
      </c>
      <c r="E97" s="44">
        <f t="shared" si="5"/>
        <v>4</v>
      </c>
      <c r="F97" s="42" t="str">
        <f t="shared" si="4"/>
        <v>Available</v>
      </c>
    </row>
    <row r="98" spans="1:6" x14ac:dyDescent="0.25">
      <c r="A98" s="43" t="s">
        <v>772</v>
      </c>
      <c r="B98" s="42" t="s">
        <v>773</v>
      </c>
      <c r="C98" s="44">
        <v>4</v>
      </c>
      <c r="D98" s="44">
        <v>0</v>
      </c>
      <c r="E98" s="44">
        <f t="shared" si="5"/>
        <v>4</v>
      </c>
      <c r="F98" s="42" t="str">
        <f t="shared" si="4"/>
        <v>Available</v>
      </c>
    </row>
    <row r="99" spans="1:6" x14ac:dyDescent="0.25">
      <c r="A99" s="43" t="s">
        <v>633</v>
      </c>
      <c r="B99" s="42" t="s">
        <v>773</v>
      </c>
      <c r="C99" s="44">
        <v>4</v>
      </c>
      <c r="D99" s="44">
        <v>4</v>
      </c>
      <c r="E99" s="44">
        <f t="shared" si="5"/>
        <v>0</v>
      </c>
      <c r="F99" s="42" t="str">
        <f t="shared" si="4"/>
        <v>Reorder</v>
      </c>
    </row>
    <row r="100" spans="1:6" x14ac:dyDescent="0.25">
      <c r="A100" s="43" t="s">
        <v>903</v>
      </c>
      <c r="B100" s="42">
        <v>350</v>
      </c>
      <c r="C100" s="42">
        <v>5</v>
      </c>
      <c r="D100" s="42">
        <v>0</v>
      </c>
      <c r="E100" s="42">
        <v>1</v>
      </c>
      <c r="F100" s="42" t="str">
        <f t="shared" si="4"/>
        <v>Reorder</v>
      </c>
    </row>
    <row r="101" spans="1:6" x14ac:dyDescent="0.25">
      <c r="A101" s="43" t="s">
        <v>1038</v>
      </c>
      <c r="B101" s="42" t="s">
        <v>1042</v>
      </c>
      <c r="C101" s="42">
        <v>7</v>
      </c>
      <c r="D101" s="42">
        <v>1</v>
      </c>
      <c r="E101" s="42">
        <f>C101-D101</f>
        <v>6</v>
      </c>
      <c r="F101" s="42" t="str">
        <f t="shared" si="4"/>
        <v>Available</v>
      </c>
    </row>
    <row r="102" spans="1:6" x14ac:dyDescent="0.25">
      <c r="A102" s="43" t="s">
        <v>909</v>
      </c>
      <c r="B102" s="42" t="s">
        <v>910</v>
      </c>
      <c r="C102" s="42">
        <v>10</v>
      </c>
      <c r="D102" s="42">
        <v>1</v>
      </c>
      <c r="E102" s="42">
        <f>C102-D102</f>
        <v>9</v>
      </c>
      <c r="F102" s="42" t="str">
        <f t="shared" si="4"/>
        <v>Available</v>
      </c>
    </row>
    <row r="103" spans="1:6" x14ac:dyDescent="0.25">
      <c r="A103" s="43" t="s">
        <v>945</v>
      </c>
      <c r="B103" s="42" t="s">
        <v>944</v>
      </c>
      <c r="C103" s="42">
        <v>10</v>
      </c>
      <c r="D103" s="42">
        <v>0</v>
      </c>
      <c r="E103" s="42">
        <f>C103-D103</f>
        <v>10</v>
      </c>
      <c r="F103" s="42" t="str">
        <f t="shared" si="4"/>
        <v>Available</v>
      </c>
    </row>
    <row r="104" spans="1:6" x14ac:dyDescent="0.25">
      <c r="A104" s="43" t="s">
        <v>946</v>
      </c>
      <c r="B104" s="42" t="s">
        <v>944</v>
      </c>
      <c r="C104" s="42">
        <v>10</v>
      </c>
      <c r="D104" s="42">
        <v>0</v>
      </c>
      <c r="E104" s="42">
        <f>C104-D104</f>
        <v>10</v>
      </c>
      <c r="F104" s="42" t="str">
        <f t="shared" si="4"/>
        <v>Available</v>
      </c>
    </row>
    <row r="105" spans="1:6" x14ac:dyDescent="0.25">
      <c r="A105" s="43" t="s">
        <v>948</v>
      </c>
      <c r="B105" s="42" t="s">
        <v>949</v>
      </c>
      <c r="C105" s="42">
        <v>10</v>
      </c>
      <c r="D105" s="42">
        <v>0</v>
      </c>
      <c r="E105" s="42">
        <f>C105-D105</f>
        <v>10</v>
      </c>
      <c r="F105" s="42" t="str">
        <f t="shared" si="4"/>
        <v>Available</v>
      </c>
    </row>
    <row r="106" spans="1:6" x14ac:dyDescent="0.25">
      <c r="A106" s="43" t="s">
        <v>964</v>
      </c>
      <c r="B106" s="42" t="s">
        <v>966</v>
      </c>
      <c r="C106" s="42"/>
      <c r="D106" s="42">
        <v>0</v>
      </c>
      <c r="E106" s="42">
        <f t="shared" ref="E106:E111" si="6">C106-D106</f>
        <v>0</v>
      </c>
      <c r="F106" s="42" t="str">
        <f t="shared" si="4"/>
        <v>Reorder</v>
      </c>
    </row>
    <row r="107" spans="1:6" x14ac:dyDescent="0.25">
      <c r="A107" s="43" t="s">
        <v>965</v>
      </c>
      <c r="B107" s="42" t="s">
        <v>967</v>
      </c>
      <c r="C107" s="42"/>
      <c r="D107" s="42">
        <v>0</v>
      </c>
      <c r="E107" s="42">
        <f t="shared" si="6"/>
        <v>0</v>
      </c>
      <c r="F107" s="42" t="str">
        <f t="shared" si="4"/>
        <v>Reorder</v>
      </c>
    </row>
    <row r="108" spans="1:6" x14ac:dyDescent="0.25">
      <c r="A108" s="43" t="s">
        <v>1069</v>
      </c>
      <c r="B108" s="42" t="s">
        <v>1070</v>
      </c>
      <c r="C108" s="42">
        <v>10</v>
      </c>
      <c r="D108" s="42">
        <v>0</v>
      </c>
      <c r="E108" s="42">
        <f t="shared" si="6"/>
        <v>10</v>
      </c>
      <c r="F108" s="42" t="str">
        <f t="shared" si="4"/>
        <v>Available</v>
      </c>
    </row>
    <row r="109" spans="1:6" x14ac:dyDescent="0.25">
      <c r="A109" s="43" t="s">
        <v>902</v>
      </c>
      <c r="B109" s="42" t="s">
        <v>1076</v>
      </c>
      <c r="C109" s="42">
        <v>20</v>
      </c>
      <c r="D109" s="42">
        <v>0</v>
      </c>
      <c r="E109" s="42">
        <f t="shared" si="6"/>
        <v>20</v>
      </c>
      <c r="F109" s="42" t="str">
        <f t="shared" si="4"/>
        <v>Available</v>
      </c>
    </row>
    <row r="110" spans="1:6" x14ac:dyDescent="0.25">
      <c r="A110" s="43" t="s">
        <v>1081</v>
      </c>
      <c r="B110" s="42" t="s">
        <v>1057</v>
      </c>
      <c r="C110" s="42">
        <v>10</v>
      </c>
      <c r="D110" s="42">
        <v>1</v>
      </c>
      <c r="E110" s="42">
        <f t="shared" si="6"/>
        <v>9</v>
      </c>
      <c r="F110" s="42" t="str">
        <f t="shared" si="4"/>
        <v>Available</v>
      </c>
    </row>
    <row r="111" spans="1:6" x14ac:dyDescent="0.25">
      <c r="A111" s="43" t="s">
        <v>945</v>
      </c>
      <c r="B111" s="42" t="s">
        <v>1070</v>
      </c>
      <c r="C111" s="42">
        <v>10</v>
      </c>
      <c r="D111" s="42">
        <v>0</v>
      </c>
      <c r="E111" s="42">
        <f t="shared" si="6"/>
        <v>10</v>
      </c>
      <c r="F111" s="42" t="str">
        <f t="shared" si="4"/>
        <v>Available</v>
      </c>
    </row>
    <row r="112" spans="1:6" x14ac:dyDescent="0.25">
      <c r="D112" s="42"/>
    </row>
  </sheetData>
  <phoneticPr fontId="19" type="noConversion"/>
  <conditionalFormatting sqref="C1:D1">
    <cfRule type="expression" dxfId="597" priority="4">
      <formula>ROW()=CELL(ROW)</formula>
    </cfRule>
  </conditionalFormatting>
  <conditionalFormatting sqref="F1:F1048576">
    <cfRule type="containsText" dxfId="596" priority="3" operator="containsText" text="Reorder">
      <formula>NOT(ISERROR(SEARCH("Reorder",F1)))</formula>
    </cfRule>
  </conditionalFormatting>
  <conditionalFormatting sqref="F9:F11">
    <cfRule type="containsText" dxfId="595" priority="2" operator="containsText" text="Reorder">
      <formula>NOT(ISERROR(SEARCH("Reorder",F9)))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4"/>
  <sheetViews>
    <sheetView topLeftCell="A2" zoomScaleNormal="100" workbookViewId="0">
      <selection activeCell="L11" sqref="L11"/>
    </sheetView>
  </sheetViews>
  <sheetFormatPr defaultRowHeight="26.25" x14ac:dyDescent="0.4"/>
  <cols>
    <col min="1" max="1" width="17.140625" style="8" customWidth="1"/>
    <col min="2" max="2" width="30.28515625" style="3" customWidth="1"/>
    <col min="3" max="3" width="18.85546875" style="3" customWidth="1"/>
    <col min="4" max="4" width="18.5703125" style="3" customWidth="1"/>
    <col min="5" max="5" width="14.85546875" style="2" customWidth="1"/>
    <col min="6" max="6" width="13.42578125" style="2" customWidth="1"/>
    <col min="7" max="7" width="20.85546875" style="2" customWidth="1"/>
    <col min="8" max="8" width="15.140625" style="2" customWidth="1"/>
    <col min="9" max="16384" width="9.140625" style="3"/>
  </cols>
  <sheetData>
    <row r="1" spans="1:8" x14ac:dyDescent="0.4">
      <c r="A1" s="8" t="s">
        <v>1</v>
      </c>
    </row>
    <row r="2" spans="1:8" ht="44.25" customHeight="1" x14ac:dyDescent="0.5">
      <c r="A2" s="61" t="s">
        <v>2</v>
      </c>
      <c r="B2" s="62"/>
      <c r="C2" s="62"/>
      <c r="D2" s="62"/>
      <c r="E2" s="62"/>
      <c r="F2" s="62"/>
    </row>
    <row r="3" spans="1:8" s="6" customFormat="1" ht="61.5" customHeight="1" x14ac:dyDescent="0.25">
      <c r="A3" s="5" t="s">
        <v>0</v>
      </c>
      <c r="B3" s="4" t="s">
        <v>3</v>
      </c>
      <c r="C3" s="5" t="s">
        <v>19</v>
      </c>
      <c r="D3" s="5" t="s">
        <v>20</v>
      </c>
      <c r="E3" s="5" t="s">
        <v>634</v>
      </c>
      <c r="F3" s="5" t="s">
        <v>635</v>
      </c>
      <c r="G3" s="5" t="s">
        <v>636</v>
      </c>
      <c r="H3" s="9" t="s">
        <v>637</v>
      </c>
    </row>
    <row r="4" spans="1:8" ht="15" x14ac:dyDescent="0.25">
      <c r="A4" s="60" t="s">
        <v>4</v>
      </c>
      <c r="B4" s="3" t="s">
        <v>158</v>
      </c>
      <c r="C4" s="2">
        <v>140</v>
      </c>
      <c r="D4" s="2">
        <v>180</v>
      </c>
      <c r="E4" s="2">
        <v>15</v>
      </c>
      <c r="F4" s="2">
        <v>8</v>
      </c>
      <c r="G4" s="2">
        <f>E4-F4</f>
        <v>7</v>
      </c>
      <c r="H4" s="2" t="str">
        <f>IF(G4&lt;=10,"Reorder","Available")</f>
        <v>Reorder</v>
      </c>
    </row>
    <row r="5" spans="1:8" ht="15" x14ac:dyDescent="0.25">
      <c r="A5" s="60"/>
      <c r="B5" s="3" t="s">
        <v>5</v>
      </c>
      <c r="C5" s="2">
        <v>140</v>
      </c>
      <c r="D5" s="2">
        <v>180</v>
      </c>
      <c r="E5" s="2">
        <v>20</v>
      </c>
      <c r="F5" s="2">
        <v>13</v>
      </c>
      <c r="G5" s="2">
        <f t="shared" ref="G5:G53" si="0">E5-F5</f>
        <v>7</v>
      </c>
      <c r="H5" s="2" t="str">
        <f>IF(G5&lt;=3,"Reorder","Available")</f>
        <v>Available</v>
      </c>
    </row>
    <row r="6" spans="1:8" ht="15" x14ac:dyDescent="0.25">
      <c r="A6" s="60"/>
      <c r="B6" s="3" t="s">
        <v>6</v>
      </c>
      <c r="C6" s="2">
        <v>140</v>
      </c>
      <c r="D6" s="2">
        <v>180</v>
      </c>
      <c r="E6" s="2">
        <v>14</v>
      </c>
      <c r="F6" s="2">
        <v>7</v>
      </c>
      <c r="G6" s="2">
        <f t="shared" si="0"/>
        <v>7</v>
      </c>
      <c r="H6" s="2" t="str">
        <f>IF(G6&lt;=3,"Reorder","Available")</f>
        <v>Available</v>
      </c>
    </row>
    <row r="7" spans="1:8" ht="15" x14ac:dyDescent="0.25">
      <c r="A7" s="60"/>
      <c r="B7" s="3" t="s">
        <v>1019</v>
      </c>
      <c r="C7" s="2">
        <v>200</v>
      </c>
      <c r="D7" s="2">
        <v>280</v>
      </c>
      <c r="E7" s="2">
        <v>5</v>
      </c>
      <c r="F7" s="2">
        <v>2</v>
      </c>
      <c r="G7" s="2">
        <f t="shared" si="0"/>
        <v>3</v>
      </c>
      <c r="H7" s="2" t="str">
        <f t="shared" ref="H7:H53" si="1">IF(G7&lt;=3,"Reorder","Available")</f>
        <v>Reorder</v>
      </c>
    </row>
    <row r="8" spans="1:8" ht="15" x14ac:dyDescent="0.25">
      <c r="A8" s="60"/>
      <c r="B8" s="3" t="s">
        <v>8</v>
      </c>
      <c r="C8" s="2">
        <v>150</v>
      </c>
      <c r="D8" s="2">
        <v>180</v>
      </c>
      <c r="E8" s="2">
        <v>10</v>
      </c>
      <c r="F8" s="2">
        <v>5</v>
      </c>
      <c r="G8" s="2">
        <f t="shared" si="0"/>
        <v>5</v>
      </c>
      <c r="H8" s="2" t="str">
        <f t="shared" si="1"/>
        <v>Available</v>
      </c>
    </row>
    <row r="9" spans="1:8" ht="15" x14ac:dyDescent="0.25">
      <c r="A9" s="60"/>
      <c r="B9" s="3" t="s">
        <v>7</v>
      </c>
      <c r="C9" s="2">
        <v>140</v>
      </c>
      <c r="D9" s="2">
        <v>180</v>
      </c>
      <c r="E9" s="2">
        <v>5</v>
      </c>
      <c r="F9" s="2">
        <v>0</v>
      </c>
      <c r="G9" s="2">
        <f t="shared" si="0"/>
        <v>5</v>
      </c>
      <c r="H9" s="2" t="str">
        <f t="shared" si="1"/>
        <v>Available</v>
      </c>
    </row>
    <row r="10" spans="1:8" ht="15" x14ac:dyDescent="0.25">
      <c r="A10" s="60"/>
      <c r="B10" s="3" t="s">
        <v>9</v>
      </c>
      <c r="C10" s="2">
        <v>140</v>
      </c>
      <c r="D10" s="2">
        <v>180</v>
      </c>
      <c r="E10" s="2">
        <v>7</v>
      </c>
      <c r="F10" s="2">
        <v>5</v>
      </c>
      <c r="G10" s="2">
        <f t="shared" si="0"/>
        <v>2</v>
      </c>
      <c r="H10" s="2" t="str">
        <f t="shared" si="1"/>
        <v>Reorder</v>
      </c>
    </row>
    <row r="11" spans="1:8" ht="15" x14ac:dyDescent="0.25">
      <c r="A11" s="60"/>
      <c r="B11" s="3" t="s">
        <v>27</v>
      </c>
      <c r="C11" s="2">
        <v>155</v>
      </c>
      <c r="D11" s="2">
        <v>210</v>
      </c>
      <c r="E11" s="2">
        <v>0</v>
      </c>
      <c r="F11" s="2">
        <v>0</v>
      </c>
      <c r="G11" s="2">
        <f t="shared" si="0"/>
        <v>0</v>
      </c>
      <c r="H11" s="2" t="str">
        <f t="shared" si="1"/>
        <v>Reorder</v>
      </c>
    </row>
    <row r="12" spans="1:8" ht="13.5" customHeight="1" x14ac:dyDescent="0.25">
      <c r="A12" s="60"/>
      <c r="B12" s="3" t="s">
        <v>122</v>
      </c>
      <c r="C12" s="2">
        <v>170</v>
      </c>
      <c r="D12" s="2">
        <v>200</v>
      </c>
      <c r="E12" s="2">
        <v>4</v>
      </c>
      <c r="F12" s="2">
        <v>0</v>
      </c>
      <c r="G12" s="2">
        <f t="shared" si="0"/>
        <v>4</v>
      </c>
      <c r="H12" s="2" t="str">
        <f t="shared" si="1"/>
        <v>Available</v>
      </c>
    </row>
    <row r="13" spans="1:8" ht="15" hidden="1" x14ac:dyDescent="0.25">
      <c r="A13" s="60"/>
      <c r="C13" s="2"/>
      <c r="D13" s="2"/>
      <c r="G13" s="2">
        <f t="shared" si="0"/>
        <v>0</v>
      </c>
      <c r="H13" s="2" t="str">
        <f t="shared" si="1"/>
        <v>Reorder</v>
      </c>
    </row>
    <row r="14" spans="1:8" ht="15" hidden="1" x14ac:dyDescent="0.25">
      <c r="A14" s="60"/>
      <c r="C14" s="2"/>
      <c r="D14" s="2"/>
      <c r="G14" s="2">
        <f t="shared" si="0"/>
        <v>0</v>
      </c>
      <c r="H14" s="2" t="str">
        <f t="shared" si="1"/>
        <v>Reorder</v>
      </c>
    </row>
    <row r="15" spans="1:8" ht="15" hidden="1" x14ac:dyDescent="0.25">
      <c r="A15" s="60"/>
      <c r="C15" s="2"/>
      <c r="D15" s="2"/>
      <c r="G15" s="2">
        <f t="shared" si="0"/>
        <v>0</v>
      </c>
      <c r="H15" s="2" t="str">
        <f t="shared" si="1"/>
        <v>Reorder</v>
      </c>
    </row>
    <row r="16" spans="1:8" ht="15" x14ac:dyDescent="0.25">
      <c r="A16" s="60" t="s">
        <v>10</v>
      </c>
      <c r="B16" s="3" t="s">
        <v>11</v>
      </c>
      <c r="C16" s="2">
        <v>140</v>
      </c>
      <c r="D16" s="2">
        <v>180</v>
      </c>
      <c r="E16" s="2">
        <v>30</v>
      </c>
      <c r="F16" s="2">
        <v>22</v>
      </c>
      <c r="G16" s="2">
        <f t="shared" si="0"/>
        <v>8</v>
      </c>
      <c r="H16" s="2" t="str">
        <f t="shared" si="1"/>
        <v>Available</v>
      </c>
    </row>
    <row r="17" spans="1:8" ht="15" x14ac:dyDescent="0.25">
      <c r="A17" s="60"/>
      <c r="B17" s="3" t="s">
        <v>916</v>
      </c>
      <c r="C17" s="2">
        <v>180</v>
      </c>
      <c r="D17" s="2">
        <v>220</v>
      </c>
      <c r="E17" s="2">
        <v>10</v>
      </c>
      <c r="F17" s="2">
        <v>5</v>
      </c>
      <c r="G17" s="2">
        <f t="shared" si="0"/>
        <v>5</v>
      </c>
      <c r="H17" s="2" t="str">
        <f t="shared" si="1"/>
        <v>Available</v>
      </c>
    </row>
    <row r="18" spans="1:8" ht="15" x14ac:dyDescent="0.25">
      <c r="A18" s="60"/>
      <c r="B18" s="3" t="s">
        <v>12</v>
      </c>
      <c r="C18" s="2">
        <v>140</v>
      </c>
      <c r="D18" s="2">
        <v>180</v>
      </c>
      <c r="E18" s="2">
        <v>20</v>
      </c>
      <c r="F18" s="2">
        <v>0</v>
      </c>
      <c r="G18" s="2">
        <f t="shared" si="0"/>
        <v>20</v>
      </c>
      <c r="H18" s="2" t="str">
        <f t="shared" si="1"/>
        <v>Available</v>
      </c>
    </row>
    <row r="19" spans="1:8" ht="15" x14ac:dyDescent="0.25">
      <c r="A19" s="60"/>
      <c r="B19" s="3" t="s">
        <v>144</v>
      </c>
      <c r="C19" s="2">
        <v>160</v>
      </c>
      <c r="D19" s="2">
        <v>200</v>
      </c>
      <c r="E19" s="2">
        <v>7</v>
      </c>
      <c r="F19" s="2">
        <v>1</v>
      </c>
      <c r="G19" s="2">
        <f t="shared" si="0"/>
        <v>6</v>
      </c>
      <c r="H19" s="2" t="str">
        <f t="shared" si="1"/>
        <v>Available</v>
      </c>
    </row>
    <row r="20" spans="1:8" ht="15" x14ac:dyDescent="0.25">
      <c r="A20" s="60"/>
      <c r="B20" s="3" t="s">
        <v>14</v>
      </c>
      <c r="C20" s="2">
        <v>170</v>
      </c>
      <c r="D20" s="2">
        <v>210</v>
      </c>
      <c r="E20" s="2">
        <v>2</v>
      </c>
      <c r="F20" s="2">
        <v>0</v>
      </c>
      <c r="G20" s="2">
        <f t="shared" si="0"/>
        <v>2</v>
      </c>
      <c r="H20" s="2" t="str">
        <f t="shared" si="1"/>
        <v>Reorder</v>
      </c>
    </row>
    <row r="21" spans="1:8" ht="15" x14ac:dyDescent="0.25">
      <c r="A21" s="60"/>
      <c r="B21" s="3" t="s">
        <v>15</v>
      </c>
      <c r="C21" s="2">
        <v>210</v>
      </c>
      <c r="D21" s="2">
        <v>250</v>
      </c>
      <c r="E21" s="2">
        <v>6</v>
      </c>
      <c r="F21" s="2">
        <v>1</v>
      </c>
      <c r="G21" s="2">
        <f t="shared" si="0"/>
        <v>5</v>
      </c>
      <c r="H21" s="2" t="str">
        <f t="shared" si="1"/>
        <v>Available</v>
      </c>
    </row>
    <row r="22" spans="1:8" ht="15" x14ac:dyDescent="0.25">
      <c r="A22" s="60"/>
      <c r="B22" s="3" t="s">
        <v>83</v>
      </c>
      <c r="C22" s="2">
        <v>240</v>
      </c>
      <c r="D22" s="2">
        <v>280</v>
      </c>
      <c r="E22" s="2">
        <v>3</v>
      </c>
      <c r="F22" s="2">
        <v>0</v>
      </c>
      <c r="G22" s="2">
        <f t="shared" si="0"/>
        <v>3</v>
      </c>
      <c r="H22" s="2" t="str">
        <f t="shared" si="1"/>
        <v>Reorder</v>
      </c>
    </row>
    <row r="23" spans="1:8" ht="15" x14ac:dyDescent="0.25">
      <c r="A23" s="60"/>
      <c r="B23" s="3" t="s">
        <v>16</v>
      </c>
      <c r="C23" s="2">
        <v>210</v>
      </c>
      <c r="D23" s="2">
        <v>250</v>
      </c>
      <c r="E23" s="2">
        <v>12</v>
      </c>
      <c r="F23" s="2">
        <v>10</v>
      </c>
      <c r="G23" s="2">
        <f t="shared" si="0"/>
        <v>2</v>
      </c>
      <c r="H23" s="2" t="str">
        <f t="shared" si="1"/>
        <v>Reorder</v>
      </c>
    </row>
    <row r="24" spans="1:8" ht="15" x14ac:dyDescent="0.25">
      <c r="A24" s="60"/>
      <c r="B24" s="3" t="s">
        <v>93</v>
      </c>
      <c r="C24" s="2">
        <v>200</v>
      </c>
      <c r="D24" s="2">
        <v>200</v>
      </c>
      <c r="E24" s="2">
        <v>5</v>
      </c>
      <c r="F24" s="2">
        <v>5</v>
      </c>
      <c r="G24" s="2">
        <f t="shared" si="0"/>
        <v>0</v>
      </c>
      <c r="H24" s="2" t="str">
        <f t="shared" si="1"/>
        <v>Reorder</v>
      </c>
    </row>
    <row r="25" spans="1:8" ht="15" x14ac:dyDescent="0.25">
      <c r="A25" s="60"/>
      <c r="B25" s="3" t="s">
        <v>1053</v>
      </c>
      <c r="C25" s="2">
        <v>200</v>
      </c>
      <c r="D25" s="2">
        <v>300</v>
      </c>
      <c r="E25" s="2">
        <v>5</v>
      </c>
      <c r="F25" s="2">
        <v>0</v>
      </c>
      <c r="G25" s="2">
        <f t="shared" si="0"/>
        <v>5</v>
      </c>
      <c r="H25" s="2" t="str">
        <f t="shared" si="1"/>
        <v>Available</v>
      </c>
    </row>
    <row r="26" spans="1:8" ht="15.75" customHeight="1" x14ac:dyDescent="0.25">
      <c r="A26" s="60"/>
      <c r="B26" s="3" t="s">
        <v>36</v>
      </c>
      <c r="C26" s="2">
        <v>180</v>
      </c>
      <c r="D26" s="2">
        <v>240</v>
      </c>
      <c r="E26" s="2">
        <v>9</v>
      </c>
      <c r="F26" s="2">
        <v>2</v>
      </c>
      <c r="G26" s="2">
        <f t="shared" si="0"/>
        <v>7</v>
      </c>
      <c r="H26" s="2" t="str">
        <f t="shared" si="1"/>
        <v>Available</v>
      </c>
    </row>
    <row r="27" spans="1:8" ht="15" x14ac:dyDescent="0.25">
      <c r="A27" s="60" t="s">
        <v>21</v>
      </c>
      <c r="B27" s="3" t="s">
        <v>796</v>
      </c>
      <c r="C27" s="2">
        <v>180</v>
      </c>
      <c r="D27" s="2">
        <v>220</v>
      </c>
      <c r="E27" s="2">
        <v>12</v>
      </c>
      <c r="F27" s="2">
        <v>6</v>
      </c>
      <c r="G27" s="2">
        <f t="shared" si="0"/>
        <v>6</v>
      </c>
      <c r="H27" s="2" t="str">
        <f t="shared" si="1"/>
        <v>Available</v>
      </c>
    </row>
    <row r="28" spans="1:8" ht="15" x14ac:dyDescent="0.25">
      <c r="A28" s="60"/>
      <c r="B28" s="3" t="s">
        <v>797</v>
      </c>
      <c r="C28" s="2">
        <v>180</v>
      </c>
      <c r="D28" s="2">
        <v>220</v>
      </c>
      <c r="E28" s="2">
        <v>10</v>
      </c>
      <c r="F28" s="2">
        <v>4</v>
      </c>
      <c r="G28" s="2">
        <f t="shared" si="0"/>
        <v>6</v>
      </c>
      <c r="H28" s="2" t="str">
        <f t="shared" si="1"/>
        <v>Available</v>
      </c>
    </row>
    <row r="29" spans="1:8" ht="15" x14ac:dyDescent="0.25">
      <c r="A29" s="60"/>
      <c r="B29" s="3" t="s">
        <v>899</v>
      </c>
      <c r="C29" s="2">
        <v>180</v>
      </c>
      <c r="D29" s="2">
        <v>220</v>
      </c>
      <c r="E29" s="2">
        <v>15</v>
      </c>
      <c r="F29" s="2">
        <v>5</v>
      </c>
      <c r="G29" s="2">
        <f t="shared" si="0"/>
        <v>10</v>
      </c>
      <c r="H29" s="2" t="str">
        <f t="shared" si="1"/>
        <v>Available</v>
      </c>
    </row>
    <row r="30" spans="1:8" ht="15" x14ac:dyDescent="0.25">
      <c r="A30" s="60"/>
      <c r="B30" s="3" t="s">
        <v>798</v>
      </c>
      <c r="C30" s="2">
        <v>180</v>
      </c>
      <c r="D30" s="2">
        <v>220</v>
      </c>
      <c r="E30" s="2">
        <v>9</v>
      </c>
      <c r="F30" s="2">
        <v>4</v>
      </c>
      <c r="G30" s="2">
        <f t="shared" si="0"/>
        <v>5</v>
      </c>
      <c r="H30" s="2" t="str">
        <f t="shared" si="1"/>
        <v>Available</v>
      </c>
    </row>
    <row r="31" spans="1:8" ht="15" x14ac:dyDescent="0.25">
      <c r="A31" s="60"/>
      <c r="B31" s="3" t="s">
        <v>18</v>
      </c>
      <c r="C31" s="2">
        <v>240</v>
      </c>
      <c r="D31" s="2">
        <v>280</v>
      </c>
      <c r="E31" s="2">
        <v>14</v>
      </c>
      <c r="F31" s="2">
        <v>4</v>
      </c>
      <c r="G31" s="2">
        <f t="shared" si="0"/>
        <v>10</v>
      </c>
      <c r="H31" s="2" t="str">
        <f t="shared" si="1"/>
        <v>Available</v>
      </c>
    </row>
    <row r="32" spans="1:8" ht="15" x14ac:dyDescent="0.25">
      <c r="A32" s="60"/>
      <c r="B32" s="3" t="s">
        <v>28</v>
      </c>
      <c r="C32" s="2">
        <v>150</v>
      </c>
      <c r="D32" s="2">
        <v>190</v>
      </c>
      <c r="E32" s="2">
        <v>9</v>
      </c>
      <c r="F32" s="2">
        <v>4</v>
      </c>
      <c r="G32" s="2">
        <f t="shared" si="0"/>
        <v>5</v>
      </c>
      <c r="H32" s="2" t="str">
        <f t="shared" si="1"/>
        <v>Available</v>
      </c>
    </row>
    <row r="33" spans="1:8" ht="15" x14ac:dyDescent="0.25">
      <c r="A33" s="60"/>
      <c r="B33" s="3" t="s">
        <v>29</v>
      </c>
      <c r="C33" s="2">
        <v>150</v>
      </c>
      <c r="D33" s="2">
        <v>190</v>
      </c>
      <c r="E33" s="2">
        <v>4</v>
      </c>
      <c r="F33" s="2">
        <v>1</v>
      </c>
      <c r="G33" s="2">
        <f t="shared" si="0"/>
        <v>3</v>
      </c>
      <c r="H33" s="2" t="str">
        <f t="shared" si="1"/>
        <v>Reorder</v>
      </c>
    </row>
    <row r="34" spans="1:8" ht="15" x14ac:dyDescent="0.25">
      <c r="A34" s="60"/>
      <c r="B34" s="3" t="s">
        <v>30</v>
      </c>
      <c r="C34" s="2">
        <v>190</v>
      </c>
      <c r="D34" s="2">
        <v>240</v>
      </c>
      <c r="E34" s="2">
        <v>7</v>
      </c>
      <c r="F34" s="2">
        <v>1</v>
      </c>
      <c r="G34" s="2">
        <f t="shared" si="0"/>
        <v>6</v>
      </c>
      <c r="H34" s="2" t="str">
        <f t="shared" si="1"/>
        <v>Available</v>
      </c>
    </row>
    <row r="35" spans="1:8" ht="15" x14ac:dyDescent="0.25">
      <c r="A35" s="60"/>
      <c r="B35" s="3" t="s">
        <v>31</v>
      </c>
      <c r="C35" s="2">
        <v>190</v>
      </c>
      <c r="D35" s="2">
        <v>240</v>
      </c>
      <c r="E35" s="2">
        <v>0</v>
      </c>
      <c r="F35" s="2">
        <v>0</v>
      </c>
      <c r="G35" s="2">
        <f t="shared" si="0"/>
        <v>0</v>
      </c>
      <c r="H35" s="2" t="str">
        <f t="shared" si="1"/>
        <v>Reorder</v>
      </c>
    </row>
    <row r="36" spans="1:8" ht="15" x14ac:dyDescent="0.25">
      <c r="A36" s="60"/>
      <c r="B36" s="3" t="s">
        <v>32</v>
      </c>
      <c r="C36" s="2">
        <v>190</v>
      </c>
      <c r="D36" s="2">
        <v>240</v>
      </c>
      <c r="E36" s="2">
        <v>4</v>
      </c>
      <c r="F36" s="2">
        <v>0</v>
      </c>
      <c r="G36" s="2">
        <f t="shared" si="0"/>
        <v>4</v>
      </c>
      <c r="H36" s="2" t="str">
        <f t="shared" si="1"/>
        <v>Available</v>
      </c>
    </row>
    <row r="37" spans="1:8" ht="14.25" customHeight="1" x14ac:dyDescent="0.25">
      <c r="A37" s="60"/>
      <c r="B37" s="3" t="s">
        <v>652</v>
      </c>
      <c r="C37" s="2">
        <v>250</v>
      </c>
      <c r="D37" s="2">
        <v>300</v>
      </c>
      <c r="E37" s="2">
        <v>3</v>
      </c>
      <c r="F37" s="2">
        <v>1</v>
      </c>
      <c r="G37" s="2">
        <f t="shared" si="0"/>
        <v>2</v>
      </c>
      <c r="H37" s="2" t="str">
        <f t="shared" si="1"/>
        <v>Reorder</v>
      </c>
    </row>
    <row r="38" spans="1:8" ht="14.25" customHeight="1" x14ac:dyDescent="0.25">
      <c r="A38" s="60"/>
      <c r="B38" s="3" t="s">
        <v>889</v>
      </c>
      <c r="C38" s="2">
        <v>270</v>
      </c>
      <c r="D38" s="2">
        <v>320</v>
      </c>
      <c r="E38" s="2">
        <v>5</v>
      </c>
      <c r="F38" s="2">
        <v>3</v>
      </c>
      <c r="G38" s="2">
        <f t="shared" si="0"/>
        <v>2</v>
      </c>
      <c r="H38" s="2" t="str">
        <f t="shared" si="1"/>
        <v>Reorder</v>
      </c>
    </row>
    <row r="39" spans="1:8" ht="15" x14ac:dyDescent="0.25">
      <c r="A39" s="60"/>
      <c r="B39" s="3" t="s">
        <v>794</v>
      </c>
      <c r="C39" s="2">
        <v>230</v>
      </c>
      <c r="D39" s="2">
        <v>280</v>
      </c>
      <c r="E39" s="2">
        <v>5</v>
      </c>
      <c r="F39" s="2">
        <v>0</v>
      </c>
      <c r="G39" s="2">
        <f t="shared" si="0"/>
        <v>5</v>
      </c>
      <c r="H39" s="2" t="str">
        <f t="shared" si="1"/>
        <v>Available</v>
      </c>
    </row>
    <row r="40" spans="1:8" ht="15" x14ac:dyDescent="0.25">
      <c r="A40" s="60"/>
      <c r="B40" s="3" t="s">
        <v>795</v>
      </c>
      <c r="C40" s="2">
        <v>230</v>
      </c>
      <c r="D40" s="2">
        <v>280</v>
      </c>
      <c r="E40" s="2">
        <v>8</v>
      </c>
      <c r="F40" s="2">
        <v>2</v>
      </c>
      <c r="G40" s="2">
        <f t="shared" si="0"/>
        <v>6</v>
      </c>
      <c r="H40" s="2" t="str">
        <f t="shared" si="1"/>
        <v>Available</v>
      </c>
    </row>
    <row r="41" spans="1:8" ht="15" customHeight="1" x14ac:dyDescent="0.25">
      <c r="A41" s="60" t="s">
        <v>22</v>
      </c>
      <c r="B41" s="3" t="s">
        <v>23</v>
      </c>
      <c r="C41" s="2">
        <v>145</v>
      </c>
      <c r="D41" s="2">
        <v>190</v>
      </c>
      <c r="E41" s="2">
        <v>12</v>
      </c>
      <c r="F41" s="2">
        <v>1</v>
      </c>
      <c r="G41" s="2">
        <f t="shared" si="0"/>
        <v>11</v>
      </c>
      <c r="H41" s="2" t="str">
        <f t="shared" si="1"/>
        <v>Available</v>
      </c>
    </row>
    <row r="42" spans="1:8" ht="15" customHeight="1" x14ac:dyDescent="0.25">
      <c r="A42" s="60"/>
      <c r="B42" s="3" t="s">
        <v>24</v>
      </c>
      <c r="C42" s="2">
        <v>145</v>
      </c>
      <c r="D42" s="2">
        <v>190</v>
      </c>
      <c r="E42" s="2">
        <v>6</v>
      </c>
      <c r="F42" s="2">
        <v>0</v>
      </c>
      <c r="G42" s="2">
        <f t="shared" si="0"/>
        <v>6</v>
      </c>
      <c r="H42" s="2" t="str">
        <f t="shared" si="1"/>
        <v>Available</v>
      </c>
    </row>
    <row r="43" spans="1:8" ht="15" customHeight="1" x14ac:dyDescent="0.25">
      <c r="A43" s="60"/>
      <c r="B43" s="3" t="s">
        <v>938</v>
      </c>
      <c r="C43" s="2">
        <v>200</v>
      </c>
      <c r="D43" s="2">
        <v>280</v>
      </c>
      <c r="E43" s="2">
        <v>8</v>
      </c>
      <c r="F43" s="2">
        <v>5</v>
      </c>
      <c r="G43" s="2">
        <f t="shared" si="0"/>
        <v>3</v>
      </c>
      <c r="H43" s="2" t="str">
        <f t="shared" si="1"/>
        <v>Reorder</v>
      </c>
    </row>
    <row r="44" spans="1:8" ht="15" customHeight="1" x14ac:dyDescent="0.25">
      <c r="A44" s="60"/>
      <c r="B44" s="3" t="s">
        <v>651</v>
      </c>
      <c r="C44" s="2">
        <v>250</v>
      </c>
      <c r="D44" s="2">
        <v>300</v>
      </c>
      <c r="E44" s="2">
        <v>5</v>
      </c>
      <c r="F44" s="2">
        <v>5</v>
      </c>
      <c r="G44" s="2">
        <f t="shared" si="0"/>
        <v>0</v>
      </c>
      <c r="H44" s="2" t="str">
        <f t="shared" si="1"/>
        <v>Reorder</v>
      </c>
    </row>
    <row r="45" spans="1:8" ht="15" x14ac:dyDescent="0.25">
      <c r="A45" s="60"/>
      <c r="B45" s="3" t="s">
        <v>26</v>
      </c>
      <c r="C45" s="2">
        <v>260</v>
      </c>
      <c r="D45" s="2">
        <v>300</v>
      </c>
      <c r="E45" s="2">
        <v>11</v>
      </c>
      <c r="F45" s="2">
        <v>7</v>
      </c>
      <c r="G45" s="2">
        <f t="shared" si="0"/>
        <v>4</v>
      </c>
      <c r="H45" s="2" t="str">
        <f t="shared" si="1"/>
        <v>Available</v>
      </c>
    </row>
    <row r="46" spans="1:8" ht="15" customHeight="1" x14ac:dyDescent="0.25">
      <c r="A46" s="60" t="s">
        <v>40</v>
      </c>
      <c r="B46" s="3" t="s">
        <v>33</v>
      </c>
      <c r="C46" s="2">
        <v>140</v>
      </c>
      <c r="D46" s="2">
        <v>175</v>
      </c>
      <c r="E46" s="2">
        <v>14</v>
      </c>
      <c r="F46" s="2">
        <v>4</v>
      </c>
      <c r="G46" s="2">
        <f t="shared" si="0"/>
        <v>10</v>
      </c>
      <c r="H46" s="2" t="str">
        <f t="shared" si="1"/>
        <v>Available</v>
      </c>
    </row>
    <row r="47" spans="1:8" ht="15" customHeight="1" x14ac:dyDescent="0.25">
      <c r="A47" s="60"/>
      <c r="B47" s="3" t="s">
        <v>35</v>
      </c>
      <c r="C47" s="2">
        <v>140</v>
      </c>
      <c r="D47" s="2">
        <v>175</v>
      </c>
      <c r="E47" s="2">
        <v>20</v>
      </c>
      <c r="F47" s="2">
        <v>6</v>
      </c>
      <c r="G47" s="2">
        <f t="shared" si="0"/>
        <v>14</v>
      </c>
      <c r="H47" s="2" t="str">
        <f t="shared" si="1"/>
        <v>Available</v>
      </c>
    </row>
    <row r="48" spans="1:8" ht="15" customHeight="1" x14ac:dyDescent="0.25">
      <c r="A48" s="60"/>
      <c r="B48" s="3" t="s">
        <v>799</v>
      </c>
      <c r="C48" s="2">
        <v>160</v>
      </c>
      <c r="D48" s="2">
        <v>200</v>
      </c>
      <c r="E48" s="2">
        <v>11</v>
      </c>
      <c r="F48" s="2">
        <v>3</v>
      </c>
      <c r="G48" s="2">
        <f t="shared" si="0"/>
        <v>8</v>
      </c>
      <c r="H48" s="2" t="str">
        <f t="shared" si="1"/>
        <v>Available</v>
      </c>
    </row>
    <row r="49" spans="1:8" ht="15" customHeight="1" x14ac:dyDescent="0.25">
      <c r="A49" s="60"/>
      <c r="B49" s="3" t="s">
        <v>34</v>
      </c>
      <c r="C49" s="2">
        <v>180</v>
      </c>
      <c r="D49" s="2">
        <v>230</v>
      </c>
      <c r="E49" s="2">
        <v>12</v>
      </c>
      <c r="F49" s="2">
        <v>2</v>
      </c>
      <c r="G49" s="2">
        <f t="shared" si="0"/>
        <v>10</v>
      </c>
      <c r="H49" s="2" t="str">
        <f t="shared" si="1"/>
        <v>Available</v>
      </c>
    </row>
    <row r="50" spans="1:8" ht="15" customHeight="1" x14ac:dyDescent="0.25">
      <c r="A50" s="58" t="s">
        <v>37</v>
      </c>
      <c r="B50" s="3" t="s">
        <v>650</v>
      </c>
      <c r="C50" s="2">
        <v>190</v>
      </c>
      <c r="D50" s="2">
        <v>250</v>
      </c>
      <c r="E50" s="2">
        <v>5</v>
      </c>
      <c r="F50" s="2">
        <v>1</v>
      </c>
      <c r="G50" s="2">
        <f t="shared" si="0"/>
        <v>4</v>
      </c>
      <c r="H50" s="2" t="str">
        <f t="shared" si="1"/>
        <v>Available</v>
      </c>
    </row>
    <row r="51" spans="1:8" ht="15" customHeight="1" x14ac:dyDescent="0.25">
      <c r="A51" s="59"/>
      <c r="B51" s="3" t="s">
        <v>649</v>
      </c>
      <c r="C51" s="2">
        <v>150</v>
      </c>
      <c r="D51" s="2">
        <v>240</v>
      </c>
      <c r="E51" s="2">
        <v>9</v>
      </c>
      <c r="F51" s="2">
        <v>0</v>
      </c>
      <c r="G51" s="2">
        <f t="shared" si="0"/>
        <v>9</v>
      </c>
      <c r="H51" s="2" t="str">
        <f t="shared" si="1"/>
        <v>Available</v>
      </c>
    </row>
    <row r="52" spans="1:8" ht="15" customHeight="1" x14ac:dyDescent="0.25">
      <c r="A52" s="9" t="s">
        <v>38</v>
      </c>
      <c r="B52" s="3" t="s">
        <v>39</v>
      </c>
      <c r="C52" s="2">
        <v>220</v>
      </c>
      <c r="D52" s="2">
        <v>260</v>
      </c>
      <c r="E52" s="2">
        <v>5</v>
      </c>
      <c r="F52" s="2">
        <v>1</v>
      </c>
      <c r="G52" s="2">
        <f t="shared" si="0"/>
        <v>4</v>
      </c>
      <c r="H52" s="2" t="str">
        <f t="shared" si="1"/>
        <v>Available</v>
      </c>
    </row>
    <row r="53" spans="1:8" ht="15" customHeight="1" x14ac:dyDescent="0.25">
      <c r="A53" s="9"/>
      <c r="B53" s="50" t="s">
        <v>931</v>
      </c>
      <c r="C53" s="2">
        <v>300</v>
      </c>
      <c r="D53" s="2">
        <v>380</v>
      </c>
      <c r="E53" s="2">
        <v>5</v>
      </c>
      <c r="F53" s="2">
        <v>0</v>
      </c>
      <c r="G53" s="2">
        <f t="shared" si="0"/>
        <v>5</v>
      </c>
      <c r="H53" s="2" t="str">
        <f t="shared" si="1"/>
        <v>Available</v>
      </c>
    </row>
    <row r="54" spans="1:8" ht="15" customHeight="1" x14ac:dyDescent="0.4"/>
    <row r="55" spans="1:8" ht="15" customHeight="1" x14ac:dyDescent="0.4"/>
    <row r="56" spans="1:8" ht="15" customHeight="1" x14ac:dyDescent="0.4"/>
    <row r="57" spans="1:8" ht="15" customHeight="1" x14ac:dyDescent="0.4"/>
    <row r="58" spans="1:8" ht="15" customHeight="1" x14ac:dyDescent="0.4"/>
    <row r="59" spans="1:8" ht="15" customHeight="1" x14ac:dyDescent="0.4"/>
    <row r="60" spans="1:8" ht="15" customHeight="1" x14ac:dyDescent="0.4"/>
    <row r="61" spans="1:8" ht="15" customHeight="1" x14ac:dyDescent="0.4"/>
    <row r="62" spans="1:8" ht="15" customHeight="1" x14ac:dyDescent="0.4"/>
    <row r="63" spans="1:8" ht="15" customHeight="1" x14ac:dyDescent="0.4"/>
    <row r="64" spans="1:8" ht="15" customHeight="1" x14ac:dyDescent="0.4"/>
    <row r="65" ht="15" customHeight="1" x14ac:dyDescent="0.4"/>
    <row r="66" ht="15" customHeight="1" x14ac:dyDescent="0.4"/>
    <row r="67" ht="15" customHeight="1" x14ac:dyDescent="0.4"/>
    <row r="68" ht="15" customHeight="1" x14ac:dyDescent="0.4"/>
    <row r="69" ht="15" customHeight="1" x14ac:dyDescent="0.4"/>
    <row r="70" ht="15" customHeight="1" x14ac:dyDescent="0.4"/>
    <row r="71" ht="15" customHeight="1" x14ac:dyDescent="0.4"/>
    <row r="72" ht="15" customHeight="1" x14ac:dyDescent="0.4"/>
    <row r="73" ht="15" customHeight="1" x14ac:dyDescent="0.4"/>
    <row r="74" ht="15" customHeight="1" x14ac:dyDescent="0.4"/>
    <row r="75" ht="15" customHeight="1" x14ac:dyDescent="0.4"/>
    <row r="76" ht="15" customHeight="1" x14ac:dyDescent="0.4"/>
    <row r="77" ht="15" customHeight="1" x14ac:dyDescent="0.4"/>
    <row r="78" ht="15" customHeight="1" x14ac:dyDescent="0.4"/>
    <row r="79" ht="15" customHeight="1" x14ac:dyDescent="0.4"/>
    <row r="80" ht="15" customHeight="1" x14ac:dyDescent="0.4"/>
    <row r="81" ht="15" customHeight="1" x14ac:dyDescent="0.4"/>
    <row r="82" ht="15" customHeight="1" x14ac:dyDescent="0.4"/>
    <row r="83" ht="15" customHeight="1" x14ac:dyDescent="0.4"/>
    <row r="84" ht="15" customHeight="1" x14ac:dyDescent="0.4"/>
    <row r="85" ht="15" customHeight="1" x14ac:dyDescent="0.4"/>
    <row r="86" ht="15" customHeight="1" x14ac:dyDescent="0.4"/>
    <row r="87" ht="15" customHeight="1" x14ac:dyDescent="0.4"/>
    <row r="88" ht="15" customHeight="1" x14ac:dyDescent="0.4"/>
    <row r="89" ht="15" customHeight="1" x14ac:dyDescent="0.4"/>
    <row r="90" ht="15" customHeight="1" x14ac:dyDescent="0.4"/>
    <row r="91" ht="15" customHeight="1" x14ac:dyDescent="0.4"/>
    <row r="92" ht="15" customHeight="1" x14ac:dyDescent="0.4"/>
    <row r="93" ht="15" customHeight="1" x14ac:dyDescent="0.4"/>
    <row r="94" ht="15" customHeight="1" x14ac:dyDescent="0.4"/>
  </sheetData>
  <mergeCells count="7">
    <mergeCell ref="A50:A51"/>
    <mergeCell ref="A46:A49"/>
    <mergeCell ref="A2:F2"/>
    <mergeCell ref="A4:A15"/>
    <mergeCell ref="A16:A26"/>
    <mergeCell ref="A27:A40"/>
    <mergeCell ref="A41:A45"/>
  </mergeCells>
  <conditionalFormatting sqref="A52:F52 B51:F51 A1:F50">
    <cfRule type="expression" dxfId="594" priority="2">
      <formula>ROW()=CELL(ROW)</formula>
    </cfRule>
  </conditionalFormatting>
  <conditionalFormatting sqref="H1:H1048576">
    <cfRule type="containsText" dxfId="593" priority="1" operator="containsText" text="Reorder">
      <formula>NOT(ISERROR(SEARCH("Reorder",H1)))</formula>
    </cfRule>
  </conditionalFormatting>
  <pageMargins left="0.7" right="0.7" top="0.75" bottom="0.75" header="0.3" footer="0.3"/>
  <pageSetup paperSize="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workbookViewId="0"/>
  </sheetViews>
  <sheetFormatPr defaultRowHeight="26.25" x14ac:dyDescent="0.4"/>
  <cols>
    <col min="1" max="1" width="17.140625" style="8" customWidth="1"/>
    <col min="2" max="2" width="30.28515625" style="3" customWidth="1"/>
    <col min="3" max="3" width="18.85546875" style="3" customWidth="1"/>
    <col min="4" max="4" width="18.5703125" style="3" customWidth="1"/>
    <col min="5" max="5" width="13.28515625" style="2" customWidth="1"/>
    <col min="6" max="6" width="13.42578125" style="2" customWidth="1"/>
    <col min="7" max="7" width="17" style="2" customWidth="1"/>
    <col min="8" max="8" width="11.85546875" style="2" customWidth="1"/>
    <col min="9" max="16384" width="9.140625" style="3"/>
  </cols>
  <sheetData>
    <row r="1" spans="1:8" x14ac:dyDescent="0.4">
      <c r="A1" s="8" t="s">
        <v>1086</v>
      </c>
    </row>
    <row r="2" spans="1:8" ht="44.25" customHeight="1" x14ac:dyDescent="0.5">
      <c r="A2" s="61" t="s">
        <v>41</v>
      </c>
      <c r="B2" s="62"/>
      <c r="C2" s="62"/>
      <c r="D2" s="62"/>
      <c r="E2" s="62"/>
      <c r="F2" s="62"/>
    </row>
    <row r="3" spans="1:8" s="6" customFormat="1" ht="61.5" customHeight="1" x14ac:dyDescent="0.25">
      <c r="A3" s="5" t="s">
        <v>0</v>
      </c>
      <c r="B3" s="4" t="s">
        <v>3</v>
      </c>
      <c r="C3" s="5" t="s">
        <v>19</v>
      </c>
      <c r="D3" s="5" t="s">
        <v>20</v>
      </c>
      <c r="E3" s="5" t="s">
        <v>634</v>
      </c>
      <c r="F3" s="5" t="s">
        <v>635</v>
      </c>
      <c r="G3" s="5" t="s">
        <v>639</v>
      </c>
      <c r="H3" s="5" t="s">
        <v>638</v>
      </c>
    </row>
    <row r="4" spans="1:8" ht="15" x14ac:dyDescent="0.25">
      <c r="A4" s="60" t="s">
        <v>4</v>
      </c>
      <c r="B4" s="3" t="s">
        <v>927</v>
      </c>
      <c r="C4" s="2">
        <v>130</v>
      </c>
      <c r="D4" s="2">
        <v>200</v>
      </c>
      <c r="E4" s="2">
        <v>10</v>
      </c>
      <c r="F4" s="2">
        <v>10</v>
      </c>
      <c r="G4" s="2">
        <f>E4-F4</f>
        <v>0</v>
      </c>
      <c r="H4" s="2" t="str">
        <f>IF(G4&lt;=2,"Reorder","Available")</f>
        <v>Reorder</v>
      </c>
    </row>
    <row r="5" spans="1:8" ht="15" x14ac:dyDescent="0.25">
      <c r="A5" s="60"/>
      <c r="B5" s="3" t="s">
        <v>937</v>
      </c>
      <c r="C5" s="2">
        <v>130</v>
      </c>
      <c r="D5" s="2">
        <v>200</v>
      </c>
      <c r="E5" s="2">
        <v>10</v>
      </c>
      <c r="F5" s="2">
        <v>0</v>
      </c>
      <c r="G5" s="2">
        <f t="shared" ref="G5:G43" si="0">E5-F5</f>
        <v>10</v>
      </c>
      <c r="H5" s="2" t="str">
        <f t="shared" ref="H5:H43" si="1">IF(G5&lt;=2,"Reorder","Available")</f>
        <v>Available</v>
      </c>
    </row>
    <row r="6" spans="1:8" ht="15" x14ac:dyDescent="0.25">
      <c r="A6" s="60"/>
      <c r="B6" s="3" t="s">
        <v>1083</v>
      </c>
      <c r="C6" s="2">
        <v>180</v>
      </c>
      <c r="D6" s="2">
        <v>240</v>
      </c>
      <c r="E6" s="2">
        <v>10</v>
      </c>
      <c r="F6" s="2">
        <v>6</v>
      </c>
      <c r="G6" s="2">
        <f t="shared" si="0"/>
        <v>4</v>
      </c>
      <c r="H6" s="2" t="str">
        <f t="shared" si="1"/>
        <v>Available</v>
      </c>
    </row>
    <row r="7" spans="1:8" ht="15" x14ac:dyDescent="0.25">
      <c r="A7" s="60"/>
      <c r="B7" s="3" t="s">
        <v>42</v>
      </c>
      <c r="C7" s="2">
        <v>235</v>
      </c>
      <c r="D7" s="2">
        <v>280</v>
      </c>
      <c r="E7" s="2">
        <v>6</v>
      </c>
      <c r="F7" s="2">
        <v>0</v>
      </c>
      <c r="G7" s="2">
        <f t="shared" si="0"/>
        <v>6</v>
      </c>
      <c r="H7" s="2" t="str">
        <f t="shared" si="1"/>
        <v>Available</v>
      </c>
    </row>
    <row r="8" spans="1:8" ht="15" x14ac:dyDescent="0.25">
      <c r="A8" s="60"/>
      <c r="B8" s="3" t="s">
        <v>43</v>
      </c>
      <c r="C8" s="2">
        <v>200</v>
      </c>
      <c r="D8" s="2">
        <v>250</v>
      </c>
      <c r="E8" s="2">
        <v>10</v>
      </c>
      <c r="F8" s="2">
        <v>2</v>
      </c>
      <c r="G8" s="2">
        <f t="shared" si="0"/>
        <v>8</v>
      </c>
      <c r="H8" s="2" t="str">
        <f t="shared" si="1"/>
        <v>Available</v>
      </c>
    </row>
    <row r="9" spans="1:8" ht="15" hidden="1" x14ac:dyDescent="0.25">
      <c r="A9" s="60"/>
      <c r="C9" s="2"/>
      <c r="D9" s="2"/>
      <c r="G9" s="2">
        <f t="shared" si="0"/>
        <v>0</v>
      </c>
      <c r="H9" s="2" t="str">
        <f t="shared" si="1"/>
        <v>Reorder</v>
      </c>
    </row>
    <row r="10" spans="1:8" ht="15" hidden="1" x14ac:dyDescent="0.25">
      <c r="A10" s="60"/>
      <c r="C10" s="2"/>
      <c r="D10" s="2"/>
      <c r="G10" s="2">
        <f t="shared" si="0"/>
        <v>0</v>
      </c>
      <c r="H10" s="2" t="str">
        <f t="shared" si="1"/>
        <v>Reorder</v>
      </c>
    </row>
    <row r="11" spans="1:8" ht="15" hidden="1" x14ac:dyDescent="0.25">
      <c r="A11" s="60"/>
      <c r="C11" s="2"/>
      <c r="D11" s="2"/>
      <c r="G11" s="2">
        <f t="shared" si="0"/>
        <v>0</v>
      </c>
      <c r="H11" s="2" t="str">
        <f t="shared" si="1"/>
        <v>Reorder</v>
      </c>
    </row>
    <row r="12" spans="1:8" ht="15" customHeight="1" x14ac:dyDescent="0.25">
      <c r="A12" s="58" t="s">
        <v>801</v>
      </c>
      <c r="B12" s="3" t="s">
        <v>45</v>
      </c>
      <c r="C12" s="2">
        <v>180</v>
      </c>
      <c r="D12" s="2">
        <v>205</v>
      </c>
      <c r="E12" s="2">
        <v>7</v>
      </c>
      <c r="F12" s="2">
        <v>7</v>
      </c>
      <c r="G12" s="2">
        <f t="shared" si="0"/>
        <v>0</v>
      </c>
      <c r="H12" s="2" t="str">
        <f t="shared" si="1"/>
        <v>Reorder</v>
      </c>
    </row>
    <row r="13" spans="1:8" ht="15" customHeight="1" x14ac:dyDescent="0.25">
      <c r="A13" s="63"/>
      <c r="B13" s="3" t="s">
        <v>44</v>
      </c>
      <c r="C13" s="2">
        <v>180</v>
      </c>
      <c r="D13" s="2">
        <v>205</v>
      </c>
      <c r="E13" s="2">
        <v>11</v>
      </c>
      <c r="F13" s="2">
        <v>6</v>
      </c>
      <c r="G13" s="2">
        <f t="shared" si="0"/>
        <v>5</v>
      </c>
      <c r="H13" s="2" t="str">
        <f t="shared" si="1"/>
        <v>Available</v>
      </c>
    </row>
    <row r="14" spans="1:8" ht="15" customHeight="1" x14ac:dyDescent="0.25">
      <c r="A14" s="63"/>
      <c r="B14" s="3" t="s">
        <v>251</v>
      </c>
      <c r="C14" s="2">
        <v>170</v>
      </c>
      <c r="D14" s="2">
        <v>200</v>
      </c>
      <c r="E14" s="2">
        <v>15</v>
      </c>
      <c r="F14" s="2">
        <v>3</v>
      </c>
      <c r="G14" s="2">
        <f t="shared" si="0"/>
        <v>12</v>
      </c>
      <c r="H14" s="2" t="str">
        <f t="shared" si="1"/>
        <v>Available</v>
      </c>
    </row>
    <row r="15" spans="1:8" ht="15" customHeight="1" x14ac:dyDescent="0.25">
      <c r="A15" s="63"/>
      <c r="B15" s="3" t="s">
        <v>12</v>
      </c>
      <c r="C15" s="2">
        <v>160</v>
      </c>
      <c r="D15" s="2">
        <v>200</v>
      </c>
      <c r="E15" s="2">
        <v>10</v>
      </c>
      <c r="F15" s="2">
        <v>9</v>
      </c>
      <c r="G15" s="2">
        <f t="shared" si="0"/>
        <v>1</v>
      </c>
      <c r="H15" s="2" t="str">
        <f t="shared" si="1"/>
        <v>Reorder</v>
      </c>
    </row>
    <row r="16" spans="1:8" ht="15" customHeight="1" x14ac:dyDescent="0.25">
      <c r="A16" s="63"/>
      <c r="B16" s="3" t="s">
        <v>53</v>
      </c>
      <c r="C16" s="2">
        <v>165</v>
      </c>
      <c r="D16" s="2">
        <v>195</v>
      </c>
      <c r="E16" s="2">
        <v>5</v>
      </c>
      <c r="F16" s="2">
        <v>12</v>
      </c>
      <c r="G16" s="2">
        <v>4</v>
      </c>
      <c r="H16" s="2" t="str">
        <f t="shared" si="1"/>
        <v>Available</v>
      </c>
    </row>
    <row r="17" spans="1:8" ht="15" customHeight="1" x14ac:dyDescent="0.25">
      <c r="A17" s="63"/>
      <c r="B17" s="3" t="s">
        <v>49</v>
      </c>
      <c r="C17" s="2">
        <v>170</v>
      </c>
      <c r="D17" s="2">
        <v>220</v>
      </c>
      <c r="E17" s="2">
        <v>4</v>
      </c>
      <c r="F17" s="2">
        <v>4</v>
      </c>
      <c r="G17" s="2">
        <f t="shared" si="0"/>
        <v>0</v>
      </c>
      <c r="H17" s="2" t="str">
        <f t="shared" si="1"/>
        <v>Reorder</v>
      </c>
    </row>
    <row r="18" spans="1:8" ht="15" customHeight="1" x14ac:dyDescent="0.25">
      <c r="A18" s="63"/>
      <c r="B18" s="3" t="s">
        <v>48</v>
      </c>
      <c r="C18" s="2">
        <v>210</v>
      </c>
      <c r="D18" s="2">
        <v>250</v>
      </c>
      <c r="E18" s="2">
        <v>16</v>
      </c>
      <c r="F18" s="2">
        <v>14</v>
      </c>
      <c r="G18" s="2">
        <f t="shared" si="0"/>
        <v>2</v>
      </c>
      <c r="H18" s="2" t="str">
        <f t="shared" si="1"/>
        <v>Reorder</v>
      </c>
    </row>
    <row r="19" spans="1:8" ht="15" customHeight="1" x14ac:dyDescent="0.25">
      <c r="A19" s="63"/>
      <c r="B19" s="3" t="s">
        <v>586</v>
      </c>
      <c r="C19" s="2" t="s">
        <v>852</v>
      </c>
      <c r="D19" s="2">
        <v>80</v>
      </c>
      <c r="E19" s="2">
        <v>20</v>
      </c>
      <c r="F19" s="2">
        <v>8</v>
      </c>
      <c r="G19" s="2">
        <f t="shared" si="0"/>
        <v>12</v>
      </c>
      <c r="H19" s="2" t="str">
        <f t="shared" si="1"/>
        <v>Available</v>
      </c>
    </row>
    <row r="20" spans="1:8" ht="15" customHeight="1" x14ac:dyDescent="0.25">
      <c r="A20" s="63"/>
      <c r="B20" s="3" t="s">
        <v>1085</v>
      </c>
      <c r="C20" s="2">
        <v>210</v>
      </c>
      <c r="D20" s="2">
        <v>260</v>
      </c>
      <c r="E20" s="2">
        <v>5</v>
      </c>
      <c r="F20" s="2">
        <v>3</v>
      </c>
      <c r="G20" s="2">
        <f t="shared" si="0"/>
        <v>2</v>
      </c>
      <c r="H20" s="2" t="str">
        <f t="shared" si="1"/>
        <v>Reorder</v>
      </c>
    </row>
    <row r="21" spans="1:8" ht="15" customHeight="1" x14ac:dyDescent="0.25">
      <c r="A21" s="63"/>
      <c r="B21" s="3" t="s">
        <v>1084</v>
      </c>
      <c r="C21" s="2">
        <v>210</v>
      </c>
      <c r="D21" s="2">
        <v>260</v>
      </c>
      <c r="E21" s="2">
        <v>8</v>
      </c>
      <c r="F21" s="2">
        <v>0</v>
      </c>
      <c r="G21" s="2">
        <f t="shared" si="0"/>
        <v>8</v>
      </c>
      <c r="H21" s="2" t="str">
        <f t="shared" si="1"/>
        <v>Available</v>
      </c>
    </row>
    <row r="22" spans="1:8" ht="15" customHeight="1" x14ac:dyDescent="0.25">
      <c r="A22" s="63"/>
      <c r="B22" s="3" t="s">
        <v>46</v>
      </c>
      <c r="C22" s="2">
        <v>310</v>
      </c>
      <c r="D22" s="2">
        <v>380</v>
      </c>
      <c r="E22" s="2">
        <v>5</v>
      </c>
      <c r="F22" s="2">
        <v>1</v>
      </c>
      <c r="G22" s="2">
        <f t="shared" si="0"/>
        <v>4</v>
      </c>
      <c r="H22" s="2" t="str">
        <f t="shared" si="1"/>
        <v>Available</v>
      </c>
    </row>
    <row r="23" spans="1:8" ht="15" customHeight="1" x14ac:dyDescent="0.25">
      <c r="A23" s="59"/>
      <c r="B23" s="3" t="s">
        <v>36</v>
      </c>
      <c r="C23" s="2">
        <v>295</v>
      </c>
      <c r="D23" s="2">
        <v>340</v>
      </c>
      <c r="E23" s="2">
        <v>9</v>
      </c>
      <c r="F23" s="2">
        <v>4</v>
      </c>
      <c r="G23" s="2">
        <f t="shared" si="0"/>
        <v>5</v>
      </c>
      <c r="H23" s="2" t="str">
        <f t="shared" si="1"/>
        <v>Available</v>
      </c>
    </row>
    <row r="24" spans="1:8" ht="15" customHeight="1" x14ac:dyDescent="0.25">
      <c r="A24" s="60" t="s">
        <v>55</v>
      </c>
      <c r="B24" s="3" t="s">
        <v>54</v>
      </c>
      <c r="C24" s="2">
        <v>250</v>
      </c>
      <c r="D24" s="2">
        <v>300</v>
      </c>
      <c r="E24" s="2">
        <v>1</v>
      </c>
      <c r="F24" s="2">
        <v>0</v>
      </c>
      <c r="G24" s="2">
        <f t="shared" si="0"/>
        <v>1</v>
      </c>
      <c r="H24" s="2" t="str">
        <f t="shared" si="1"/>
        <v>Reorder</v>
      </c>
    </row>
    <row r="25" spans="1:8" ht="15" customHeight="1" x14ac:dyDescent="0.25">
      <c r="A25" s="60"/>
      <c r="B25" s="3" t="s">
        <v>17</v>
      </c>
      <c r="C25" s="2">
        <v>230</v>
      </c>
      <c r="D25" s="2">
        <v>280</v>
      </c>
      <c r="E25" s="2">
        <v>6</v>
      </c>
      <c r="F25" s="2">
        <v>2</v>
      </c>
      <c r="G25" s="2">
        <f t="shared" si="0"/>
        <v>4</v>
      </c>
      <c r="H25" s="2" t="str">
        <f t="shared" si="1"/>
        <v>Available</v>
      </c>
    </row>
    <row r="26" spans="1:8" ht="15" customHeight="1" x14ac:dyDescent="0.25">
      <c r="A26" s="60"/>
      <c r="B26" s="3" t="s">
        <v>802</v>
      </c>
      <c r="C26" s="2">
        <v>200</v>
      </c>
      <c r="D26" s="2">
        <v>270</v>
      </c>
      <c r="E26" s="2">
        <v>10</v>
      </c>
      <c r="F26" s="2">
        <v>6</v>
      </c>
      <c r="G26" s="2">
        <f t="shared" si="0"/>
        <v>4</v>
      </c>
      <c r="H26" s="2" t="str">
        <f t="shared" si="1"/>
        <v>Available</v>
      </c>
    </row>
    <row r="27" spans="1:8" ht="15" customHeight="1" x14ac:dyDescent="0.25">
      <c r="A27" s="60"/>
      <c r="B27" s="3" t="s">
        <v>18</v>
      </c>
      <c r="C27" s="2">
        <v>280</v>
      </c>
      <c r="D27" s="2">
        <v>340</v>
      </c>
      <c r="E27" s="2">
        <v>5</v>
      </c>
      <c r="F27" s="2">
        <v>0</v>
      </c>
      <c r="G27" s="2">
        <f t="shared" si="0"/>
        <v>5</v>
      </c>
      <c r="H27" s="2" t="str">
        <f t="shared" si="1"/>
        <v>Available</v>
      </c>
    </row>
    <row r="28" spans="1:8" ht="15" customHeight="1" x14ac:dyDescent="0.25">
      <c r="A28" s="60"/>
      <c r="B28" s="3" t="s">
        <v>603</v>
      </c>
      <c r="C28" s="2">
        <v>180</v>
      </c>
      <c r="D28" s="2">
        <v>230</v>
      </c>
      <c r="E28" s="2">
        <v>11</v>
      </c>
      <c r="F28" s="2">
        <v>3</v>
      </c>
      <c r="G28" s="2">
        <f t="shared" si="0"/>
        <v>8</v>
      </c>
      <c r="H28" s="2" t="str">
        <f t="shared" si="1"/>
        <v>Available</v>
      </c>
    </row>
    <row r="29" spans="1:8" ht="15" customHeight="1" x14ac:dyDescent="0.25">
      <c r="A29" s="60"/>
      <c r="B29" s="3" t="s">
        <v>50</v>
      </c>
      <c r="C29" s="2">
        <v>215</v>
      </c>
      <c r="D29" s="2">
        <v>265</v>
      </c>
      <c r="E29" s="2">
        <v>7</v>
      </c>
      <c r="F29" s="2">
        <v>2</v>
      </c>
      <c r="G29" s="2">
        <f t="shared" si="0"/>
        <v>5</v>
      </c>
      <c r="H29" s="2" t="str">
        <f t="shared" si="1"/>
        <v>Available</v>
      </c>
    </row>
    <row r="30" spans="1:8" ht="15" x14ac:dyDescent="0.25">
      <c r="A30" s="60" t="s">
        <v>22</v>
      </c>
      <c r="B30" s="3" t="s">
        <v>911</v>
      </c>
      <c r="C30" s="2">
        <v>210</v>
      </c>
      <c r="D30" s="2">
        <v>240</v>
      </c>
      <c r="E30" s="2">
        <v>16</v>
      </c>
      <c r="F30" s="2">
        <v>6</v>
      </c>
      <c r="G30" s="2">
        <f t="shared" si="0"/>
        <v>10</v>
      </c>
      <c r="H30" s="2" t="str">
        <f t="shared" si="1"/>
        <v>Available</v>
      </c>
    </row>
    <row r="31" spans="1:8" ht="15" x14ac:dyDescent="0.25">
      <c r="A31" s="60"/>
      <c r="B31" s="3" t="s">
        <v>912</v>
      </c>
      <c r="C31" s="2">
        <v>240</v>
      </c>
      <c r="D31" s="2">
        <v>290</v>
      </c>
      <c r="E31" s="2">
        <v>2</v>
      </c>
      <c r="F31" s="2">
        <v>2</v>
      </c>
      <c r="G31" s="2">
        <f t="shared" si="0"/>
        <v>0</v>
      </c>
      <c r="H31" s="2" t="str">
        <f t="shared" si="1"/>
        <v>Reorder</v>
      </c>
    </row>
    <row r="32" spans="1:8" ht="15" x14ac:dyDescent="0.25">
      <c r="A32" s="60"/>
      <c r="B32" s="3" t="s">
        <v>118</v>
      </c>
      <c r="C32" s="2">
        <v>90</v>
      </c>
      <c r="D32" s="2">
        <v>130</v>
      </c>
      <c r="E32" s="2">
        <v>5</v>
      </c>
      <c r="F32" s="2">
        <v>1</v>
      </c>
      <c r="G32" s="2">
        <f t="shared" si="0"/>
        <v>4</v>
      </c>
      <c r="H32" s="2" t="str">
        <f t="shared" si="1"/>
        <v>Available</v>
      </c>
    </row>
    <row r="33" spans="1:8" ht="15" x14ac:dyDescent="0.25">
      <c r="A33" s="60"/>
      <c r="B33" s="3" t="s">
        <v>914</v>
      </c>
      <c r="C33" s="2">
        <v>200</v>
      </c>
      <c r="D33" s="2">
        <v>250</v>
      </c>
      <c r="E33" s="2">
        <v>5</v>
      </c>
      <c r="F33" s="2">
        <v>2</v>
      </c>
      <c r="G33" s="2">
        <f t="shared" si="0"/>
        <v>3</v>
      </c>
      <c r="H33" s="2" t="str">
        <f t="shared" si="1"/>
        <v>Available</v>
      </c>
    </row>
    <row r="34" spans="1:8" ht="15" x14ac:dyDescent="0.25">
      <c r="A34" s="60"/>
      <c r="B34" s="3" t="s">
        <v>1052</v>
      </c>
      <c r="C34" s="2">
        <v>230</v>
      </c>
      <c r="D34" s="2">
        <v>290</v>
      </c>
      <c r="E34" s="2">
        <v>5</v>
      </c>
      <c r="F34" s="2">
        <v>0</v>
      </c>
      <c r="G34" s="2">
        <f t="shared" si="0"/>
        <v>5</v>
      </c>
      <c r="H34" s="2" t="str">
        <f t="shared" si="1"/>
        <v>Available</v>
      </c>
    </row>
    <row r="35" spans="1:8" ht="15" x14ac:dyDescent="0.25">
      <c r="A35" s="60"/>
      <c r="B35" s="3" t="s">
        <v>651</v>
      </c>
      <c r="C35" s="2">
        <v>235</v>
      </c>
      <c r="D35" s="2">
        <v>290</v>
      </c>
      <c r="E35" s="2">
        <v>13</v>
      </c>
      <c r="F35" s="2">
        <v>1</v>
      </c>
      <c r="G35" s="2">
        <f t="shared" si="0"/>
        <v>12</v>
      </c>
      <c r="H35" s="2" t="str">
        <f t="shared" si="1"/>
        <v>Available</v>
      </c>
    </row>
    <row r="36" spans="1:8" ht="15" x14ac:dyDescent="0.25">
      <c r="A36" s="60"/>
      <c r="B36" s="3" t="s">
        <v>26</v>
      </c>
      <c r="C36" s="2">
        <v>210</v>
      </c>
      <c r="D36" s="2">
        <v>295</v>
      </c>
      <c r="E36" s="2">
        <v>10</v>
      </c>
      <c r="F36" s="2">
        <v>0</v>
      </c>
      <c r="G36" s="2">
        <f t="shared" si="0"/>
        <v>10</v>
      </c>
      <c r="H36" s="2" t="str">
        <f t="shared" si="1"/>
        <v>Available</v>
      </c>
    </row>
    <row r="37" spans="1:8" ht="15" x14ac:dyDescent="0.25">
      <c r="A37" s="60" t="s">
        <v>40</v>
      </c>
      <c r="B37" s="3" t="s">
        <v>33</v>
      </c>
      <c r="C37" s="2">
        <v>115</v>
      </c>
      <c r="D37" s="2">
        <v>150</v>
      </c>
      <c r="E37" s="2">
        <v>11</v>
      </c>
      <c r="F37" s="2">
        <v>2</v>
      </c>
      <c r="G37" s="2">
        <f t="shared" si="0"/>
        <v>9</v>
      </c>
      <c r="H37" s="2" t="str">
        <f t="shared" si="1"/>
        <v>Available</v>
      </c>
    </row>
    <row r="38" spans="1:8" ht="15" x14ac:dyDescent="0.25">
      <c r="A38" s="60"/>
      <c r="B38" s="3" t="s">
        <v>34</v>
      </c>
      <c r="C38" s="2">
        <v>280</v>
      </c>
      <c r="D38" s="2">
        <v>350</v>
      </c>
      <c r="E38" s="2">
        <v>10</v>
      </c>
      <c r="F38" s="2">
        <v>0</v>
      </c>
      <c r="G38" s="2">
        <f t="shared" si="0"/>
        <v>10</v>
      </c>
      <c r="H38" s="2" t="str">
        <f t="shared" si="1"/>
        <v>Available</v>
      </c>
    </row>
    <row r="39" spans="1:8" ht="15" x14ac:dyDescent="0.25">
      <c r="A39" s="60"/>
      <c r="B39" s="3" t="s">
        <v>226</v>
      </c>
      <c r="C39" s="2">
        <v>130</v>
      </c>
      <c r="D39" s="2">
        <v>180</v>
      </c>
      <c r="E39" s="2">
        <v>3</v>
      </c>
      <c r="F39" s="2">
        <v>0</v>
      </c>
      <c r="G39" s="2">
        <f t="shared" si="0"/>
        <v>3</v>
      </c>
      <c r="H39" s="2" t="str">
        <f t="shared" si="1"/>
        <v>Available</v>
      </c>
    </row>
    <row r="40" spans="1:8" ht="15" x14ac:dyDescent="0.25">
      <c r="A40" s="60"/>
      <c r="B40" s="3" t="s">
        <v>35</v>
      </c>
      <c r="C40" s="2">
        <v>180</v>
      </c>
      <c r="D40" s="2">
        <v>250</v>
      </c>
      <c r="E40" s="2">
        <v>8</v>
      </c>
      <c r="F40" s="2">
        <v>4</v>
      </c>
      <c r="G40" s="2">
        <f t="shared" si="0"/>
        <v>4</v>
      </c>
      <c r="H40" s="2" t="str">
        <f t="shared" si="1"/>
        <v>Available</v>
      </c>
    </row>
    <row r="41" spans="1:8" ht="23.25" customHeight="1" x14ac:dyDescent="0.25">
      <c r="A41" s="5" t="s">
        <v>37</v>
      </c>
      <c r="B41" s="3" t="s">
        <v>56</v>
      </c>
      <c r="C41" s="2">
        <v>240</v>
      </c>
      <c r="D41" s="2">
        <v>350</v>
      </c>
      <c r="E41" s="2">
        <v>5</v>
      </c>
      <c r="F41" s="2">
        <v>3</v>
      </c>
      <c r="G41" s="2">
        <f t="shared" si="0"/>
        <v>2</v>
      </c>
      <c r="H41" s="2" t="str">
        <f t="shared" si="1"/>
        <v>Reorder</v>
      </c>
    </row>
    <row r="42" spans="1:8" ht="28.5" customHeight="1" x14ac:dyDescent="0.25">
      <c r="A42" s="9" t="s">
        <v>38</v>
      </c>
      <c r="B42" s="3" t="s">
        <v>39</v>
      </c>
      <c r="C42" s="2">
        <v>235</v>
      </c>
      <c r="D42" s="2">
        <v>285</v>
      </c>
      <c r="E42" s="2">
        <v>10</v>
      </c>
      <c r="F42" s="2">
        <v>3</v>
      </c>
      <c r="G42" s="2">
        <f t="shared" si="0"/>
        <v>7</v>
      </c>
      <c r="H42" s="2" t="str">
        <f t="shared" si="1"/>
        <v>Available</v>
      </c>
    </row>
    <row r="43" spans="1:8" ht="15" customHeight="1" x14ac:dyDescent="0.4">
      <c r="B43" s="3" t="s">
        <v>57</v>
      </c>
      <c r="C43" s="2">
        <v>270</v>
      </c>
      <c r="D43" s="2">
        <v>335</v>
      </c>
      <c r="E43" s="2">
        <v>10</v>
      </c>
      <c r="F43" s="2">
        <v>0</v>
      </c>
      <c r="G43" s="2">
        <f t="shared" si="0"/>
        <v>10</v>
      </c>
      <c r="H43" s="2" t="str">
        <f t="shared" si="1"/>
        <v>Available</v>
      </c>
    </row>
  </sheetData>
  <mergeCells count="6">
    <mergeCell ref="A37:A40"/>
    <mergeCell ref="A24:A29"/>
    <mergeCell ref="A2:F2"/>
    <mergeCell ref="A4:A11"/>
    <mergeCell ref="A30:A36"/>
    <mergeCell ref="A12:A23"/>
  </mergeCells>
  <conditionalFormatting sqref="A30:F42 B25:F29 A24:F24 B13:F23 A1:F12">
    <cfRule type="expression" dxfId="592" priority="2">
      <formula>ROW()=CELL(ROW)</formula>
    </cfRule>
  </conditionalFormatting>
  <conditionalFormatting sqref="H1:H1048576">
    <cfRule type="containsText" dxfId="591" priority="1" operator="containsText" text="Reorder">
      <formula>NOT(ISERROR(SEARCH("Reorder",H1)))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zoomScale="85" zoomScaleNormal="85" workbookViewId="0"/>
  </sheetViews>
  <sheetFormatPr defaultRowHeight="26.25" x14ac:dyDescent="0.4"/>
  <cols>
    <col min="1" max="1" width="17.140625" style="8" customWidth="1"/>
    <col min="2" max="2" width="30.28515625" style="2" customWidth="1"/>
    <col min="3" max="3" width="18.85546875" style="3" customWidth="1"/>
    <col min="4" max="4" width="18.5703125" style="3" customWidth="1"/>
    <col min="5" max="5" width="17.5703125" style="2" customWidth="1"/>
    <col min="6" max="6" width="13.42578125" style="2" customWidth="1"/>
    <col min="7" max="7" width="16.5703125" style="2" customWidth="1"/>
    <col min="8" max="8" width="11.7109375" style="2" customWidth="1"/>
    <col min="9" max="16384" width="9.140625" style="3"/>
  </cols>
  <sheetData>
    <row r="1" spans="1:8" x14ac:dyDescent="0.4">
      <c r="A1" s="8" t="s">
        <v>1</v>
      </c>
    </row>
    <row r="2" spans="1:8" ht="44.25" customHeight="1" x14ac:dyDescent="0.5">
      <c r="A2" s="61" t="s">
        <v>103</v>
      </c>
      <c r="B2" s="62"/>
      <c r="C2" s="62"/>
      <c r="D2" s="62"/>
      <c r="E2" s="62"/>
      <c r="F2" s="62"/>
    </row>
    <row r="3" spans="1:8" s="6" customFormat="1" ht="61.5" customHeight="1" x14ac:dyDescent="0.25">
      <c r="A3" s="5" t="s">
        <v>0</v>
      </c>
      <c r="B3" s="4" t="s">
        <v>65</v>
      </c>
      <c r="C3" s="5" t="s">
        <v>365</v>
      </c>
      <c r="D3" s="5" t="s">
        <v>643</v>
      </c>
      <c r="E3" s="5" t="s">
        <v>634</v>
      </c>
      <c r="F3" s="5" t="s">
        <v>635</v>
      </c>
      <c r="G3" s="5" t="s">
        <v>641</v>
      </c>
      <c r="H3" s="5" t="s">
        <v>638</v>
      </c>
    </row>
    <row r="4" spans="1:8" ht="15" customHeight="1" x14ac:dyDescent="0.25">
      <c r="A4" s="60" t="s">
        <v>72</v>
      </c>
      <c r="B4" s="2" t="s">
        <v>66</v>
      </c>
      <c r="C4" s="2">
        <v>155</v>
      </c>
      <c r="D4" s="2">
        <v>200</v>
      </c>
      <c r="E4" s="2">
        <v>17</v>
      </c>
      <c r="F4" s="2">
        <v>10</v>
      </c>
      <c r="G4" s="2">
        <f>E4-F4</f>
        <v>7</v>
      </c>
      <c r="H4" s="2" t="str">
        <f>IF(G4&lt;=2,"Reorder","Available")</f>
        <v>Available</v>
      </c>
    </row>
    <row r="5" spans="1:8" ht="26.25" customHeight="1" x14ac:dyDescent="0.25">
      <c r="A5" s="60"/>
      <c r="B5" s="7" t="s">
        <v>67</v>
      </c>
      <c r="C5" s="2">
        <v>170</v>
      </c>
      <c r="D5" s="2">
        <v>220</v>
      </c>
      <c r="E5" s="2">
        <v>29</v>
      </c>
      <c r="F5" s="2">
        <v>13</v>
      </c>
      <c r="G5" s="2">
        <f t="shared" ref="G5:G33" si="0">E5-F5</f>
        <v>16</v>
      </c>
      <c r="H5" s="2" t="str">
        <f t="shared" ref="H5:H33" si="1">IF(G5&lt;=2,"Reorder","Available")</f>
        <v>Available</v>
      </c>
    </row>
    <row r="6" spans="1:8" ht="15" customHeight="1" x14ac:dyDescent="0.25">
      <c r="A6" s="60"/>
      <c r="B6" s="7" t="s">
        <v>68</v>
      </c>
      <c r="C6" s="2">
        <v>155</v>
      </c>
      <c r="D6" s="2">
        <v>185</v>
      </c>
      <c r="E6" s="2">
        <v>10</v>
      </c>
      <c r="F6" s="2">
        <v>0</v>
      </c>
      <c r="G6" s="2">
        <f t="shared" si="0"/>
        <v>10</v>
      </c>
      <c r="H6" s="2" t="str">
        <f t="shared" si="1"/>
        <v>Available</v>
      </c>
    </row>
    <row r="7" spans="1:8" ht="15" customHeight="1" x14ac:dyDescent="0.25">
      <c r="A7" s="60"/>
      <c r="B7" s="7" t="s">
        <v>17</v>
      </c>
      <c r="C7" s="2">
        <v>275</v>
      </c>
      <c r="D7" s="2">
        <v>340</v>
      </c>
      <c r="E7" s="2">
        <v>10</v>
      </c>
      <c r="F7" s="2">
        <v>9</v>
      </c>
      <c r="G7" s="2">
        <f t="shared" si="0"/>
        <v>1</v>
      </c>
      <c r="H7" s="2" t="str">
        <f t="shared" si="1"/>
        <v>Reorder</v>
      </c>
    </row>
    <row r="8" spans="1:8" ht="15" customHeight="1" x14ac:dyDescent="0.25">
      <c r="A8" s="60"/>
      <c r="B8" s="7" t="s">
        <v>69</v>
      </c>
      <c r="C8" s="2">
        <v>145</v>
      </c>
      <c r="D8" s="2">
        <v>175</v>
      </c>
      <c r="E8" s="2">
        <v>4</v>
      </c>
      <c r="F8" s="2">
        <v>4</v>
      </c>
      <c r="G8" s="2">
        <f t="shared" si="0"/>
        <v>0</v>
      </c>
      <c r="H8" s="2" t="str">
        <f t="shared" si="1"/>
        <v>Reorder</v>
      </c>
    </row>
    <row r="9" spans="1:8" ht="15" customHeight="1" x14ac:dyDescent="0.25">
      <c r="A9" s="60"/>
      <c r="B9" s="7" t="s">
        <v>70</v>
      </c>
      <c r="C9" s="2">
        <v>155</v>
      </c>
      <c r="D9" s="2">
        <v>185</v>
      </c>
      <c r="E9" s="2">
        <v>9</v>
      </c>
      <c r="F9" s="2">
        <v>7</v>
      </c>
      <c r="G9" s="2">
        <f t="shared" si="0"/>
        <v>2</v>
      </c>
      <c r="H9" s="2" t="str">
        <f t="shared" si="1"/>
        <v>Reorder</v>
      </c>
    </row>
    <row r="10" spans="1:8" ht="15" customHeight="1" x14ac:dyDescent="0.25">
      <c r="A10" s="60"/>
      <c r="B10" s="7" t="s">
        <v>71</v>
      </c>
      <c r="C10" s="2">
        <v>135</v>
      </c>
      <c r="D10" s="2">
        <v>185</v>
      </c>
      <c r="E10" s="2">
        <v>5</v>
      </c>
      <c r="F10" s="2">
        <v>5</v>
      </c>
      <c r="G10" s="2">
        <f t="shared" si="0"/>
        <v>0</v>
      </c>
      <c r="H10" s="2" t="str">
        <f t="shared" si="1"/>
        <v>Reorder</v>
      </c>
    </row>
    <row r="11" spans="1:8" ht="15" customHeight="1" x14ac:dyDescent="0.25">
      <c r="A11" s="11"/>
      <c r="B11" s="7"/>
      <c r="C11" s="2"/>
      <c r="D11" s="2"/>
    </row>
    <row r="12" spans="1:8" ht="15" hidden="1" customHeight="1" x14ac:dyDescent="0.25">
      <c r="A12" s="11"/>
      <c r="B12" s="7"/>
      <c r="C12" s="2"/>
      <c r="D12" s="2"/>
      <c r="G12" s="2">
        <f t="shared" si="0"/>
        <v>0</v>
      </c>
      <c r="H12" s="2" t="str">
        <f t="shared" si="1"/>
        <v>Reorder</v>
      </c>
    </row>
    <row r="13" spans="1:8" ht="15" hidden="1" customHeight="1" x14ac:dyDescent="0.25">
      <c r="A13" s="11"/>
      <c r="B13" s="7"/>
      <c r="C13" s="2"/>
      <c r="D13" s="2"/>
      <c r="G13" s="2">
        <f t="shared" si="0"/>
        <v>0</v>
      </c>
      <c r="H13" s="2" t="str">
        <f t="shared" si="1"/>
        <v>Reorder</v>
      </c>
    </row>
    <row r="14" spans="1:8" ht="15" hidden="1" customHeight="1" x14ac:dyDescent="0.25">
      <c r="A14" s="11"/>
      <c r="B14" s="7"/>
      <c r="C14" s="2"/>
      <c r="D14" s="2"/>
      <c r="G14" s="2">
        <f t="shared" si="0"/>
        <v>0</v>
      </c>
      <c r="H14" s="2" t="str">
        <f t="shared" si="1"/>
        <v>Reorder</v>
      </c>
    </row>
    <row r="15" spans="1:8" ht="15" customHeight="1" x14ac:dyDescent="0.25">
      <c r="A15" s="64" t="s">
        <v>602</v>
      </c>
      <c r="B15" s="7" t="s">
        <v>66</v>
      </c>
      <c r="C15" s="2">
        <v>220</v>
      </c>
      <c r="D15" s="2">
        <v>260</v>
      </c>
      <c r="E15" s="2">
        <v>0</v>
      </c>
      <c r="F15" s="2">
        <v>0</v>
      </c>
      <c r="G15" s="2">
        <f t="shared" si="0"/>
        <v>0</v>
      </c>
      <c r="H15" s="2" t="str">
        <f t="shared" si="1"/>
        <v>Reorder</v>
      </c>
    </row>
    <row r="16" spans="1:8" ht="15" customHeight="1" x14ac:dyDescent="0.25">
      <c r="A16" s="64"/>
      <c r="B16" s="2" t="s">
        <v>76</v>
      </c>
      <c r="C16" s="2">
        <v>250</v>
      </c>
      <c r="D16" s="2">
        <v>290</v>
      </c>
      <c r="E16" s="2">
        <v>0</v>
      </c>
      <c r="F16" s="2">
        <v>0</v>
      </c>
      <c r="G16" s="2">
        <f t="shared" si="0"/>
        <v>0</v>
      </c>
      <c r="H16" s="2" t="str">
        <f t="shared" si="1"/>
        <v>Reorder</v>
      </c>
    </row>
    <row r="17" spans="1:8" ht="15" customHeight="1" x14ac:dyDescent="0.25">
      <c r="A17" s="64"/>
      <c r="B17" s="2" t="s">
        <v>17</v>
      </c>
      <c r="C17" s="2">
        <v>330</v>
      </c>
      <c r="D17" s="2">
        <v>380</v>
      </c>
      <c r="E17" s="2">
        <v>2</v>
      </c>
      <c r="F17" s="2">
        <v>2</v>
      </c>
      <c r="G17" s="2">
        <f t="shared" si="0"/>
        <v>0</v>
      </c>
      <c r="H17" s="2" t="str">
        <f t="shared" si="1"/>
        <v>Reorder</v>
      </c>
    </row>
    <row r="18" spans="1:8" ht="15" customHeight="1" x14ac:dyDescent="0.25">
      <c r="A18" s="64"/>
      <c r="B18" s="2" t="s">
        <v>73</v>
      </c>
      <c r="C18" s="2">
        <v>425</v>
      </c>
      <c r="D18" s="2">
        <v>470</v>
      </c>
      <c r="E18" s="2">
        <v>5</v>
      </c>
      <c r="F18" s="2">
        <v>1</v>
      </c>
      <c r="G18" s="2">
        <f t="shared" si="0"/>
        <v>4</v>
      </c>
      <c r="H18" s="2" t="str">
        <f t="shared" si="1"/>
        <v>Available</v>
      </c>
    </row>
    <row r="19" spans="1:8" ht="15" customHeight="1" x14ac:dyDescent="0.25">
      <c r="A19" s="64"/>
      <c r="B19" s="2" t="s">
        <v>629</v>
      </c>
      <c r="C19" s="2">
        <v>245</v>
      </c>
      <c r="D19" s="2">
        <v>285</v>
      </c>
      <c r="E19" s="2">
        <v>3</v>
      </c>
      <c r="F19" s="2">
        <v>2</v>
      </c>
      <c r="G19" s="2">
        <f t="shared" si="0"/>
        <v>1</v>
      </c>
      <c r="H19" s="2" t="str">
        <f t="shared" si="1"/>
        <v>Reorder</v>
      </c>
    </row>
    <row r="20" spans="1:8" ht="15" customHeight="1" x14ac:dyDescent="0.25">
      <c r="A20" s="64"/>
      <c r="B20" s="2" t="s">
        <v>74</v>
      </c>
      <c r="C20" s="2">
        <v>230</v>
      </c>
      <c r="D20" s="2">
        <v>270</v>
      </c>
      <c r="E20" s="2">
        <v>0</v>
      </c>
      <c r="F20" s="2">
        <v>0</v>
      </c>
      <c r="G20" s="2">
        <f t="shared" si="0"/>
        <v>0</v>
      </c>
      <c r="H20" s="2" t="str">
        <f t="shared" si="1"/>
        <v>Reorder</v>
      </c>
    </row>
    <row r="21" spans="1:8" ht="15" customHeight="1" x14ac:dyDescent="0.25">
      <c r="A21" s="64"/>
      <c r="B21" s="2" t="s">
        <v>75</v>
      </c>
      <c r="C21" s="2">
        <v>210</v>
      </c>
      <c r="D21" s="2">
        <v>260</v>
      </c>
      <c r="E21" s="2">
        <v>0</v>
      </c>
      <c r="F21" s="2">
        <v>0</v>
      </c>
      <c r="G21" s="2">
        <f t="shared" si="0"/>
        <v>0</v>
      </c>
      <c r="H21" s="2" t="str">
        <f>IF(G21&lt;=2,"Reorder","Available")</f>
        <v>Reorder</v>
      </c>
    </row>
    <row r="22" spans="1:8" ht="15" customHeight="1" x14ac:dyDescent="0.25">
      <c r="A22" s="64"/>
      <c r="B22" s="2" t="s">
        <v>56</v>
      </c>
      <c r="C22" s="2">
        <v>430</v>
      </c>
      <c r="D22" s="2">
        <v>490</v>
      </c>
      <c r="E22" s="2">
        <v>0</v>
      </c>
      <c r="F22" s="2">
        <v>0</v>
      </c>
      <c r="G22" s="2">
        <f t="shared" si="0"/>
        <v>0</v>
      </c>
      <c r="H22" s="2" t="str">
        <f t="shared" si="1"/>
        <v>Reorder</v>
      </c>
    </row>
    <row r="23" spans="1:8" ht="15" customHeight="1" x14ac:dyDescent="0.25">
      <c r="A23" s="10"/>
      <c r="C23" s="2"/>
      <c r="D23" s="2"/>
    </row>
    <row r="24" spans="1:8" ht="15" customHeight="1" x14ac:dyDescent="0.25">
      <c r="A24" s="58" t="s">
        <v>630</v>
      </c>
      <c r="B24" s="2" t="s">
        <v>66</v>
      </c>
      <c r="C24" s="2">
        <v>200</v>
      </c>
      <c r="D24" s="2">
        <v>250</v>
      </c>
      <c r="E24" s="2">
        <v>30</v>
      </c>
      <c r="F24" s="2">
        <v>7</v>
      </c>
      <c r="G24" s="2">
        <f>E24-F24</f>
        <v>23</v>
      </c>
      <c r="H24" s="2" t="str">
        <f t="shared" si="1"/>
        <v>Available</v>
      </c>
    </row>
    <row r="25" spans="1:8" ht="15" customHeight="1" x14ac:dyDescent="0.25">
      <c r="A25" s="63"/>
      <c r="B25" s="2" t="s">
        <v>185</v>
      </c>
      <c r="C25" s="2">
        <v>330</v>
      </c>
      <c r="D25" s="2">
        <v>400</v>
      </c>
      <c r="E25" s="2">
        <v>6</v>
      </c>
      <c r="F25" s="2">
        <v>1</v>
      </c>
      <c r="G25" s="2">
        <f t="shared" si="0"/>
        <v>5</v>
      </c>
      <c r="H25" s="2" t="str">
        <f t="shared" si="1"/>
        <v>Available</v>
      </c>
    </row>
    <row r="26" spans="1:8" ht="15" customHeight="1" x14ac:dyDescent="0.25">
      <c r="A26" s="63"/>
      <c r="B26" s="2" t="s">
        <v>38</v>
      </c>
      <c r="C26" s="2">
        <v>320</v>
      </c>
      <c r="D26" s="2">
        <v>400</v>
      </c>
      <c r="E26" s="2">
        <v>5</v>
      </c>
      <c r="F26" s="2">
        <v>0</v>
      </c>
      <c r="G26" s="2">
        <f t="shared" si="0"/>
        <v>5</v>
      </c>
      <c r="H26" s="2" t="str">
        <f t="shared" si="1"/>
        <v>Available</v>
      </c>
    </row>
    <row r="27" spans="1:8" ht="15" customHeight="1" x14ac:dyDescent="0.25">
      <c r="A27" s="63"/>
      <c r="B27" s="2" t="s">
        <v>70</v>
      </c>
      <c r="C27" s="2">
        <v>210</v>
      </c>
      <c r="D27" s="2">
        <v>270</v>
      </c>
      <c r="E27" s="2">
        <v>20</v>
      </c>
      <c r="F27" s="2">
        <v>18</v>
      </c>
      <c r="G27" s="2">
        <f t="shared" si="0"/>
        <v>2</v>
      </c>
      <c r="H27" s="2" t="str">
        <f t="shared" si="1"/>
        <v>Reorder</v>
      </c>
    </row>
    <row r="28" spans="1:8" ht="15" customHeight="1" x14ac:dyDescent="0.25">
      <c r="A28" s="63"/>
      <c r="B28" s="2" t="s">
        <v>138</v>
      </c>
      <c r="C28" s="2">
        <v>230</v>
      </c>
      <c r="D28" s="2">
        <v>300</v>
      </c>
      <c r="E28" s="2">
        <v>30</v>
      </c>
      <c r="F28" s="2">
        <v>11</v>
      </c>
      <c r="G28" s="2">
        <f t="shared" si="0"/>
        <v>19</v>
      </c>
      <c r="H28" s="2" t="str">
        <f t="shared" si="1"/>
        <v>Available</v>
      </c>
    </row>
    <row r="29" spans="1:8" ht="15" customHeight="1" x14ac:dyDescent="0.25">
      <c r="A29" s="63"/>
      <c r="B29" s="2" t="s">
        <v>111</v>
      </c>
      <c r="C29" s="2">
        <v>200</v>
      </c>
      <c r="D29" s="2">
        <v>280</v>
      </c>
      <c r="E29" s="2">
        <v>20</v>
      </c>
      <c r="F29" s="2">
        <v>5</v>
      </c>
      <c r="G29" s="2">
        <f t="shared" si="0"/>
        <v>15</v>
      </c>
      <c r="H29" s="2" t="str">
        <f t="shared" si="1"/>
        <v>Available</v>
      </c>
    </row>
    <row r="30" spans="1:8" ht="15" customHeight="1" x14ac:dyDescent="0.25">
      <c r="A30" s="63"/>
      <c r="B30" s="2" t="s">
        <v>975</v>
      </c>
      <c r="C30" s="2">
        <v>190</v>
      </c>
      <c r="D30" s="2">
        <v>230</v>
      </c>
      <c r="E30" s="2">
        <v>20</v>
      </c>
      <c r="F30" s="2">
        <v>0</v>
      </c>
      <c r="G30" s="2">
        <f t="shared" si="0"/>
        <v>20</v>
      </c>
      <c r="H30" s="2" t="str">
        <f t="shared" si="1"/>
        <v>Available</v>
      </c>
    </row>
    <row r="31" spans="1:8" ht="15" customHeight="1" x14ac:dyDescent="0.25">
      <c r="A31" s="63"/>
      <c r="B31" s="2" t="s">
        <v>17</v>
      </c>
      <c r="C31" s="2">
        <v>350</v>
      </c>
      <c r="D31" s="2">
        <v>480</v>
      </c>
      <c r="E31" s="2">
        <v>38</v>
      </c>
      <c r="F31" s="2">
        <v>3</v>
      </c>
      <c r="G31" s="2">
        <f t="shared" si="0"/>
        <v>35</v>
      </c>
      <c r="H31" s="2" t="str">
        <f t="shared" si="1"/>
        <v>Available</v>
      </c>
    </row>
    <row r="32" spans="1:8" ht="15" customHeight="1" x14ac:dyDescent="0.25">
      <c r="A32" s="63"/>
      <c r="B32" s="2" t="s">
        <v>928</v>
      </c>
      <c r="C32" s="2">
        <v>250</v>
      </c>
      <c r="D32" s="2">
        <v>320</v>
      </c>
      <c r="E32" s="2">
        <v>25</v>
      </c>
      <c r="F32" s="2">
        <v>11</v>
      </c>
      <c r="G32" s="2">
        <f t="shared" si="0"/>
        <v>14</v>
      </c>
      <c r="H32" s="2" t="str">
        <f t="shared" si="1"/>
        <v>Available</v>
      </c>
    </row>
    <row r="33" spans="1:8" ht="15" customHeight="1" x14ac:dyDescent="0.25">
      <c r="A33" s="59"/>
      <c r="B33" s="2" t="s">
        <v>929</v>
      </c>
      <c r="C33" s="2">
        <v>200</v>
      </c>
      <c r="D33" s="2">
        <v>250</v>
      </c>
      <c r="E33" s="2">
        <v>5</v>
      </c>
      <c r="F33" s="2">
        <v>2</v>
      </c>
      <c r="G33" s="2">
        <f t="shared" si="0"/>
        <v>3</v>
      </c>
      <c r="H33" s="2" t="str">
        <f t="shared" si="1"/>
        <v>Available</v>
      </c>
    </row>
    <row r="34" spans="1:8" ht="15" customHeight="1" x14ac:dyDescent="0.4">
      <c r="D34" s="2"/>
    </row>
    <row r="35" spans="1:8" ht="15" customHeight="1" x14ac:dyDescent="0.4">
      <c r="D35" s="2"/>
    </row>
    <row r="36" spans="1:8" ht="15" customHeight="1" x14ac:dyDescent="0.4">
      <c r="D36" s="2"/>
    </row>
    <row r="37" spans="1:8" ht="15" customHeight="1" x14ac:dyDescent="0.4">
      <c r="D37" s="2"/>
    </row>
  </sheetData>
  <mergeCells count="4">
    <mergeCell ref="A24:A33"/>
    <mergeCell ref="A2:F2"/>
    <mergeCell ref="A4:A10"/>
    <mergeCell ref="A15:A22"/>
  </mergeCells>
  <conditionalFormatting sqref="C27:C32 D27:D37 E27:E38 B23:D26 A1:F2 A3:E3 E23:E25 B4:E22">
    <cfRule type="expression" dxfId="590" priority="4">
      <formula>ROW()=CELL(ROW)</formula>
    </cfRule>
  </conditionalFormatting>
  <conditionalFormatting sqref="H1:H1048576">
    <cfRule type="containsText" dxfId="589" priority="1" operator="containsText" text="Reorder">
      <formula>NOT(ISERROR(SEARCH("Reorder",H1)))</formula>
    </cfRule>
    <cfRule type="containsText" dxfId="588" priority="2" operator="containsText" text="Reorder ">
      <formula>NOT(ISERROR(SEARCH("Reorder ",H1)))</formula>
    </cfRule>
    <cfRule type="containsText" priority="3" operator="containsText" text="Reorder">
      <formula>NOT(ISERROR(SEARCH("Reorder",H1)))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8"/>
  <sheetViews>
    <sheetView workbookViewId="0">
      <selection activeCell="I7" sqref="I7"/>
    </sheetView>
  </sheetViews>
  <sheetFormatPr defaultRowHeight="26.25" x14ac:dyDescent="0.4"/>
  <cols>
    <col min="1" max="1" width="17.140625" style="8" customWidth="1"/>
    <col min="2" max="2" width="23.140625" style="2" customWidth="1"/>
    <col min="3" max="3" width="18.85546875" style="2" customWidth="1"/>
    <col min="4" max="4" width="18.5703125" style="2" customWidth="1"/>
    <col min="5" max="5" width="17.5703125" style="2" customWidth="1"/>
    <col min="6" max="6" width="15" style="2" customWidth="1"/>
    <col min="7" max="7" width="12.140625" style="2" customWidth="1"/>
    <col min="8" max="8" width="17.28515625" style="2" customWidth="1"/>
    <col min="9" max="9" width="12.28515625" style="2" customWidth="1"/>
    <col min="10" max="16384" width="9.140625" style="3"/>
  </cols>
  <sheetData>
    <row r="1" spans="1:9" x14ac:dyDescent="0.4">
      <c r="A1" s="25" t="s">
        <v>1</v>
      </c>
    </row>
    <row r="2" spans="1:9" ht="44.25" customHeight="1" x14ac:dyDescent="0.5">
      <c r="A2" s="61" t="s">
        <v>998</v>
      </c>
      <c r="B2" s="62"/>
      <c r="C2" s="62"/>
      <c r="D2" s="62"/>
      <c r="E2" s="62"/>
      <c r="F2" s="62"/>
      <c r="G2" s="2">
        <v>2</v>
      </c>
    </row>
    <row r="3" spans="1:9" s="6" customFormat="1" ht="72.75" customHeight="1" x14ac:dyDescent="0.25">
      <c r="A3" s="5" t="s">
        <v>0</v>
      </c>
      <c r="B3" s="4" t="s">
        <v>58</v>
      </c>
      <c r="C3" s="5" t="s">
        <v>60</v>
      </c>
      <c r="D3" s="5" t="s">
        <v>61</v>
      </c>
      <c r="E3" s="5" t="s">
        <v>62</v>
      </c>
      <c r="F3" s="5" t="s">
        <v>640</v>
      </c>
      <c r="G3" s="5" t="s">
        <v>635</v>
      </c>
      <c r="H3" s="5" t="s">
        <v>641</v>
      </c>
      <c r="I3" s="7" t="s">
        <v>642</v>
      </c>
    </row>
    <row r="4" spans="1:9" ht="15" customHeight="1" x14ac:dyDescent="0.25">
      <c r="A4" s="60" t="s">
        <v>59</v>
      </c>
      <c r="B4" s="2">
        <v>6200</v>
      </c>
      <c r="C4" s="2">
        <v>45</v>
      </c>
      <c r="D4" s="2">
        <v>425</v>
      </c>
      <c r="E4" s="2">
        <v>70</v>
      </c>
      <c r="F4" s="2">
        <v>21</v>
      </c>
      <c r="G4" s="2">
        <v>9</v>
      </c>
      <c r="H4" s="2">
        <f>F4-G4</f>
        <v>12</v>
      </c>
      <c r="I4" s="2" t="str">
        <f>IF(H4&lt;=5,"Reorder", "Available")</f>
        <v>Available</v>
      </c>
    </row>
    <row r="5" spans="1:9" ht="15" customHeight="1" x14ac:dyDescent="0.25">
      <c r="A5" s="60"/>
      <c r="B5" s="7">
        <v>6201</v>
      </c>
      <c r="C5" s="2">
        <v>45</v>
      </c>
      <c r="D5" s="2">
        <v>425</v>
      </c>
      <c r="E5" s="2">
        <v>70</v>
      </c>
      <c r="F5" s="2">
        <v>28</v>
      </c>
      <c r="G5" s="2">
        <v>6</v>
      </c>
      <c r="H5" s="2">
        <f t="shared" ref="H5:H30" si="0">F5-G5</f>
        <v>22</v>
      </c>
      <c r="I5" s="2" t="str">
        <f t="shared" ref="I5:I30" si="1">IF(H5&lt;=5,"Reorder", "Available")</f>
        <v>Available</v>
      </c>
    </row>
    <row r="6" spans="1:9" ht="15" customHeight="1" x14ac:dyDescent="0.25">
      <c r="A6" s="60"/>
      <c r="B6" s="7">
        <v>6202</v>
      </c>
      <c r="C6" s="2">
        <v>50</v>
      </c>
      <c r="D6" s="2">
        <v>485</v>
      </c>
      <c r="E6" s="2">
        <v>80</v>
      </c>
      <c r="F6" s="2">
        <v>32</v>
      </c>
      <c r="G6" s="2">
        <v>15</v>
      </c>
      <c r="H6" s="2">
        <f t="shared" si="0"/>
        <v>17</v>
      </c>
      <c r="I6" s="2" t="str">
        <f t="shared" si="1"/>
        <v>Available</v>
      </c>
    </row>
    <row r="7" spans="1:9" ht="15" customHeight="1" x14ac:dyDescent="0.25">
      <c r="A7" s="60"/>
      <c r="B7" s="7">
        <v>6203</v>
      </c>
      <c r="C7" s="2">
        <v>65</v>
      </c>
      <c r="D7" s="2">
        <v>625</v>
      </c>
      <c r="E7" s="2">
        <v>85</v>
      </c>
      <c r="F7" s="2">
        <v>30</v>
      </c>
      <c r="G7" s="2">
        <v>14</v>
      </c>
      <c r="H7" s="2">
        <f t="shared" si="0"/>
        <v>16</v>
      </c>
      <c r="I7" s="2" t="str">
        <f t="shared" si="1"/>
        <v>Available</v>
      </c>
    </row>
    <row r="8" spans="1:9" ht="15" customHeight="1" x14ac:dyDescent="0.25">
      <c r="A8" s="60"/>
      <c r="B8" s="7">
        <v>6204</v>
      </c>
      <c r="C8" s="2">
        <v>130</v>
      </c>
      <c r="E8" s="2">
        <v>150</v>
      </c>
      <c r="F8" s="2">
        <v>26</v>
      </c>
      <c r="G8" s="2">
        <v>2</v>
      </c>
      <c r="H8" s="2">
        <f t="shared" si="0"/>
        <v>24</v>
      </c>
      <c r="I8" s="2" t="str">
        <f t="shared" si="1"/>
        <v>Available</v>
      </c>
    </row>
    <row r="9" spans="1:9" ht="15" customHeight="1" x14ac:dyDescent="0.25">
      <c r="A9" s="60"/>
      <c r="B9" s="7">
        <v>6205</v>
      </c>
      <c r="C9" s="2">
        <v>130</v>
      </c>
      <c r="E9" s="2">
        <v>200</v>
      </c>
      <c r="F9" s="2">
        <v>13</v>
      </c>
      <c r="G9" s="2">
        <v>0</v>
      </c>
      <c r="H9" s="2">
        <f t="shared" si="0"/>
        <v>13</v>
      </c>
      <c r="I9" s="2" t="str">
        <f t="shared" si="1"/>
        <v>Available</v>
      </c>
    </row>
    <row r="10" spans="1:9" ht="15" customHeight="1" x14ac:dyDescent="0.25">
      <c r="A10" s="60"/>
      <c r="B10" s="7">
        <v>6300</v>
      </c>
      <c r="C10" s="2">
        <v>50</v>
      </c>
      <c r="F10" s="2">
        <v>24</v>
      </c>
      <c r="G10" s="2">
        <v>19</v>
      </c>
      <c r="H10" s="2">
        <f t="shared" si="0"/>
        <v>5</v>
      </c>
      <c r="I10" s="2" t="str">
        <f t="shared" si="1"/>
        <v>Reorder</v>
      </c>
    </row>
    <row r="11" spans="1:9" ht="15" customHeight="1" x14ac:dyDescent="0.25">
      <c r="A11" s="60"/>
      <c r="B11" s="7">
        <v>6301</v>
      </c>
      <c r="C11" s="2">
        <v>55</v>
      </c>
      <c r="D11" s="2">
        <v>525</v>
      </c>
      <c r="E11" s="2">
        <v>80</v>
      </c>
      <c r="F11" s="2">
        <v>40</v>
      </c>
      <c r="G11" s="2">
        <v>19</v>
      </c>
      <c r="H11" s="2">
        <f t="shared" si="0"/>
        <v>21</v>
      </c>
      <c r="I11" s="2" t="str">
        <f t="shared" si="1"/>
        <v>Available</v>
      </c>
    </row>
    <row r="12" spans="1:9" ht="15" hidden="1" customHeight="1" x14ac:dyDescent="0.25">
      <c r="A12" s="60"/>
      <c r="B12" s="7"/>
      <c r="H12" s="2">
        <f t="shared" si="0"/>
        <v>0</v>
      </c>
      <c r="I12" s="2" t="str">
        <f t="shared" si="1"/>
        <v>Reorder</v>
      </c>
    </row>
    <row r="13" spans="1:9" ht="15" hidden="1" customHeight="1" x14ac:dyDescent="0.25">
      <c r="A13" s="60"/>
      <c r="B13" s="7"/>
      <c r="H13" s="2">
        <f t="shared" si="0"/>
        <v>0</v>
      </c>
      <c r="I13" s="2" t="str">
        <f t="shared" si="1"/>
        <v>Reorder</v>
      </c>
    </row>
    <row r="14" spans="1:9" ht="15" hidden="1" customHeight="1" x14ac:dyDescent="0.25">
      <c r="A14" s="60"/>
      <c r="B14" s="7"/>
      <c r="H14" s="2">
        <f t="shared" si="0"/>
        <v>0</v>
      </c>
      <c r="I14" s="2" t="str">
        <f t="shared" si="1"/>
        <v>Reorder</v>
      </c>
    </row>
    <row r="15" spans="1:9" ht="15" customHeight="1" x14ac:dyDescent="0.25">
      <c r="A15" s="60"/>
      <c r="B15" s="7">
        <v>6302</v>
      </c>
      <c r="C15" s="2">
        <v>75</v>
      </c>
      <c r="D15" s="2">
        <v>725</v>
      </c>
      <c r="E15" s="2">
        <v>100</v>
      </c>
      <c r="F15" s="2">
        <v>46</v>
      </c>
      <c r="G15" s="2">
        <v>6</v>
      </c>
      <c r="H15" s="2">
        <f t="shared" si="0"/>
        <v>40</v>
      </c>
      <c r="I15" s="2" t="str">
        <f t="shared" si="1"/>
        <v>Available</v>
      </c>
    </row>
    <row r="16" spans="1:9" ht="15" customHeight="1" x14ac:dyDescent="0.25">
      <c r="A16" s="60"/>
      <c r="B16" s="2">
        <v>6303</v>
      </c>
      <c r="C16" s="2">
        <v>150</v>
      </c>
      <c r="E16" s="2">
        <v>250</v>
      </c>
      <c r="F16" s="2">
        <v>10</v>
      </c>
      <c r="G16" s="2">
        <v>2</v>
      </c>
      <c r="H16" s="2">
        <f t="shared" si="0"/>
        <v>8</v>
      </c>
      <c r="I16" s="2" t="str">
        <f t="shared" si="1"/>
        <v>Available</v>
      </c>
    </row>
    <row r="17" spans="1:9" ht="15" customHeight="1" x14ac:dyDescent="0.25">
      <c r="A17" s="60"/>
      <c r="B17" s="2">
        <v>6004</v>
      </c>
      <c r="C17" s="2">
        <v>75</v>
      </c>
      <c r="D17" s="2">
        <v>725</v>
      </c>
      <c r="F17" s="2">
        <v>50</v>
      </c>
      <c r="G17" s="2">
        <v>17</v>
      </c>
      <c r="H17" s="2">
        <f t="shared" si="0"/>
        <v>33</v>
      </c>
      <c r="I17" s="2" t="str">
        <f t="shared" si="1"/>
        <v>Available</v>
      </c>
    </row>
    <row r="18" spans="1:9" ht="15" customHeight="1" x14ac:dyDescent="0.25">
      <c r="A18" s="60"/>
      <c r="B18" s="2">
        <v>6005</v>
      </c>
      <c r="C18" s="2">
        <v>80</v>
      </c>
      <c r="D18" s="2">
        <v>775</v>
      </c>
      <c r="F18" s="2">
        <v>40</v>
      </c>
      <c r="G18" s="2">
        <v>22</v>
      </c>
      <c r="H18" s="2">
        <f t="shared" si="0"/>
        <v>18</v>
      </c>
      <c r="I18" s="2" t="str">
        <f t="shared" si="1"/>
        <v>Available</v>
      </c>
    </row>
    <row r="19" spans="1:9" ht="15" customHeight="1" x14ac:dyDescent="0.25">
      <c r="A19" s="9"/>
    </row>
    <row r="20" spans="1:9" ht="15" customHeight="1" x14ac:dyDescent="0.25">
      <c r="A20" s="9"/>
      <c r="B20" s="2">
        <v>6201</v>
      </c>
      <c r="C20" s="2">
        <v>65</v>
      </c>
      <c r="D20" s="2">
        <v>625</v>
      </c>
      <c r="E20" s="2">
        <v>100</v>
      </c>
      <c r="F20" s="2">
        <v>30</v>
      </c>
      <c r="G20" s="2">
        <v>21</v>
      </c>
      <c r="H20" s="2">
        <f t="shared" si="0"/>
        <v>9</v>
      </c>
      <c r="I20" s="2" t="str">
        <f t="shared" si="1"/>
        <v>Available</v>
      </c>
    </row>
    <row r="21" spans="1:9" ht="15" customHeight="1" x14ac:dyDescent="0.25">
      <c r="A21" s="64" t="s">
        <v>63</v>
      </c>
      <c r="B21" s="2">
        <v>6202</v>
      </c>
      <c r="C21" s="2">
        <v>75</v>
      </c>
      <c r="D21" s="2">
        <v>725</v>
      </c>
      <c r="E21" s="2">
        <v>100</v>
      </c>
      <c r="F21" s="2">
        <v>42</v>
      </c>
      <c r="G21" s="2">
        <v>24</v>
      </c>
      <c r="H21" s="2">
        <f t="shared" si="0"/>
        <v>18</v>
      </c>
      <c r="I21" s="2" t="str">
        <f t="shared" si="1"/>
        <v>Available</v>
      </c>
    </row>
    <row r="22" spans="1:9" ht="15" customHeight="1" x14ac:dyDescent="0.25">
      <c r="A22" s="64"/>
      <c r="B22" s="2">
        <v>6203</v>
      </c>
      <c r="C22" s="2">
        <v>85</v>
      </c>
      <c r="E22" s="2">
        <v>100</v>
      </c>
      <c r="F22" s="2">
        <v>10</v>
      </c>
      <c r="G22" s="2">
        <v>6</v>
      </c>
      <c r="H22" s="2">
        <f t="shared" si="0"/>
        <v>4</v>
      </c>
      <c r="I22" s="2" t="str">
        <f t="shared" si="1"/>
        <v>Reorder</v>
      </c>
    </row>
    <row r="23" spans="1:9" ht="15" customHeight="1" x14ac:dyDescent="0.25">
      <c r="A23" s="64"/>
      <c r="B23" s="2">
        <v>6204</v>
      </c>
      <c r="C23" s="2">
        <v>150</v>
      </c>
      <c r="E23" s="2">
        <v>200</v>
      </c>
      <c r="F23" s="2">
        <v>20</v>
      </c>
      <c r="G23" s="2">
        <v>0</v>
      </c>
      <c r="H23" s="2">
        <f t="shared" si="0"/>
        <v>20</v>
      </c>
      <c r="I23" s="2" t="str">
        <f t="shared" si="1"/>
        <v>Available</v>
      </c>
    </row>
    <row r="24" spans="1:9" ht="15" customHeight="1" x14ac:dyDescent="0.25">
      <c r="A24" s="64"/>
      <c r="B24" s="2">
        <v>6205</v>
      </c>
      <c r="C24" s="2">
        <v>135</v>
      </c>
      <c r="D24" s="2">
        <v>1300</v>
      </c>
      <c r="E24" s="2">
        <v>180</v>
      </c>
      <c r="F24" s="2">
        <v>10</v>
      </c>
      <c r="G24" s="2">
        <v>0</v>
      </c>
      <c r="H24" s="2">
        <f t="shared" si="0"/>
        <v>10</v>
      </c>
      <c r="I24" s="2" t="str">
        <f t="shared" si="1"/>
        <v>Available</v>
      </c>
    </row>
    <row r="25" spans="1:9" ht="15" customHeight="1" x14ac:dyDescent="0.25">
      <c r="A25" s="64"/>
      <c r="B25" s="2">
        <v>6301</v>
      </c>
      <c r="C25" s="2">
        <v>75</v>
      </c>
      <c r="D25" s="2">
        <v>725</v>
      </c>
      <c r="E25" s="2">
        <v>100</v>
      </c>
      <c r="F25" s="2">
        <v>40</v>
      </c>
      <c r="G25" s="2">
        <v>12</v>
      </c>
      <c r="H25" s="2">
        <f t="shared" si="0"/>
        <v>28</v>
      </c>
      <c r="I25" s="2" t="str">
        <f t="shared" si="1"/>
        <v>Available</v>
      </c>
    </row>
    <row r="26" spans="1:9" ht="15" customHeight="1" x14ac:dyDescent="0.25">
      <c r="A26" s="64"/>
      <c r="B26" s="2">
        <v>6302</v>
      </c>
      <c r="C26" s="2">
        <v>85</v>
      </c>
      <c r="F26" s="2">
        <v>30</v>
      </c>
      <c r="G26" s="2">
        <v>14</v>
      </c>
      <c r="H26" s="2">
        <f t="shared" ref="H26:H27" si="2">F26-G26</f>
        <v>16</v>
      </c>
      <c r="I26" s="2" t="str">
        <f t="shared" ref="I26:I27" si="3">IF(H26&lt;=5,"Reorder", "Available")</f>
        <v>Available</v>
      </c>
    </row>
    <row r="27" spans="1:9" ht="15" customHeight="1" x14ac:dyDescent="0.25">
      <c r="A27" s="64"/>
      <c r="B27" s="2">
        <v>6004</v>
      </c>
      <c r="C27" s="2">
        <v>85</v>
      </c>
      <c r="D27" s="2">
        <v>825</v>
      </c>
      <c r="E27" s="2">
        <v>120</v>
      </c>
      <c r="F27" s="2">
        <v>30</v>
      </c>
      <c r="G27" s="2">
        <v>12</v>
      </c>
      <c r="H27" s="2">
        <f t="shared" si="2"/>
        <v>18</v>
      </c>
      <c r="I27" s="2" t="str">
        <f t="shared" si="3"/>
        <v>Available</v>
      </c>
    </row>
    <row r="28" spans="1:9" ht="15" customHeight="1" x14ac:dyDescent="0.25">
      <c r="A28" s="64"/>
      <c r="B28" s="2">
        <v>6005</v>
      </c>
      <c r="C28" s="2">
        <v>95</v>
      </c>
      <c r="D28" s="2">
        <v>925</v>
      </c>
      <c r="E28" s="2">
        <v>120</v>
      </c>
      <c r="F28" s="2">
        <v>25</v>
      </c>
      <c r="G28" s="2">
        <v>14</v>
      </c>
      <c r="H28" s="2">
        <f t="shared" si="0"/>
        <v>11</v>
      </c>
      <c r="I28" s="2" t="str">
        <f t="shared" si="1"/>
        <v>Available</v>
      </c>
    </row>
    <row r="29" spans="1:9" ht="15" customHeight="1" x14ac:dyDescent="0.25">
      <c r="A29" s="60" t="s">
        <v>64</v>
      </c>
      <c r="B29" s="2">
        <v>6202</v>
      </c>
      <c r="C29" s="2">
        <v>115</v>
      </c>
      <c r="D29" s="2">
        <v>4</v>
      </c>
      <c r="E29" s="2">
        <v>2</v>
      </c>
      <c r="F29" s="2">
        <v>10</v>
      </c>
      <c r="G29" s="2">
        <v>10</v>
      </c>
      <c r="H29" s="2">
        <f t="shared" si="0"/>
        <v>0</v>
      </c>
      <c r="I29" s="2" t="str">
        <f t="shared" si="1"/>
        <v>Reorder</v>
      </c>
    </row>
    <row r="30" spans="1:9" ht="15" customHeight="1" x14ac:dyDescent="0.25">
      <c r="A30" s="60"/>
      <c r="B30" s="2">
        <v>6203</v>
      </c>
      <c r="C30" s="2">
        <v>110</v>
      </c>
      <c r="F30" s="2">
        <v>1</v>
      </c>
      <c r="G30" s="2">
        <v>1</v>
      </c>
      <c r="H30" s="2">
        <f t="shared" si="0"/>
        <v>0</v>
      </c>
      <c r="I30" s="2" t="str">
        <f t="shared" si="1"/>
        <v>Reorder</v>
      </c>
    </row>
    <row r="31" spans="1:9" ht="15" customHeight="1" x14ac:dyDescent="0.25">
      <c r="A31" s="10"/>
    </row>
    <row r="32" spans="1:9" ht="15" customHeight="1" x14ac:dyDescent="0.25">
      <c r="A32" s="10"/>
    </row>
    <row r="33" spans="1:1" ht="15" customHeight="1" x14ac:dyDescent="0.25">
      <c r="A33" s="10"/>
    </row>
    <row r="34" spans="1:1" ht="15" customHeight="1" x14ac:dyDescent="0.25">
      <c r="A34" s="10"/>
    </row>
    <row r="35" spans="1:1" ht="15" customHeight="1" x14ac:dyDescent="0.25">
      <c r="A35" s="10"/>
    </row>
    <row r="36" spans="1:1" ht="15" customHeight="1" x14ac:dyDescent="0.25">
      <c r="A36" s="10"/>
    </row>
    <row r="37" spans="1:1" ht="15" customHeight="1" x14ac:dyDescent="0.25">
      <c r="A37" s="10"/>
    </row>
    <row r="38" spans="1:1" ht="15" customHeight="1" x14ac:dyDescent="0.25">
      <c r="A38" s="10"/>
    </row>
  </sheetData>
  <mergeCells count="4">
    <mergeCell ref="A4:A18"/>
    <mergeCell ref="A21:A28"/>
    <mergeCell ref="A2:F2"/>
    <mergeCell ref="A29:A30"/>
  </mergeCells>
  <conditionalFormatting sqref="A1:F3 A29 C39:C43 D39:D48 E39:E49 A31:D31 B32:D38 E28:E37 F28:F30 B28:D30 B4:F25">
    <cfRule type="expression" dxfId="587" priority="6">
      <formula>ROW()=CELL(ROW)</formula>
    </cfRule>
  </conditionalFormatting>
  <conditionalFormatting sqref="I28:I1048576 I1:I25">
    <cfRule type="containsText" dxfId="586" priority="4" operator="containsText" text="Reorder">
      <formula>NOT(ISERROR(SEARCH("Reorder",I1)))</formula>
    </cfRule>
    <cfRule type="containsText" dxfId="585" priority="5" operator="containsText" text="Reorder ">
      <formula>NOT(ISERROR(SEARCH("Reorder ",I1)))</formula>
    </cfRule>
  </conditionalFormatting>
  <conditionalFormatting sqref="B26:F27">
    <cfRule type="expression" dxfId="584" priority="3">
      <formula>ROW()=CELL(ROW)</formula>
    </cfRule>
  </conditionalFormatting>
  <conditionalFormatting sqref="I26:I27">
    <cfRule type="containsText" dxfId="583" priority="1" operator="containsText" text="Reorder">
      <formula>NOT(ISERROR(SEARCH("Reorder",I26)))</formula>
    </cfRule>
    <cfRule type="containsText" dxfId="582" priority="2" operator="containsText" text="Reorder ">
      <formula>NOT(ISERROR(SEARCH("Reorder ",I26)))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K44"/>
  <sheetViews>
    <sheetView workbookViewId="0">
      <selection activeCell="B11" sqref="B11"/>
    </sheetView>
  </sheetViews>
  <sheetFormatPr defaultRowHeight="26.25" x14ac:dyDescent="0.4"/>
  <cols>
    <col min="1" max="1" width="17.140625" style="8" customWidth="1"/>
    <col min="2" max="2" width="29" style="2" customWidth="1"/>
    <col min="3" max="3" width="18.85546875" style="3" customWidth="1"/>
    <col min="4" max="4" width="15.140625" style="3" customWidth="1"/>
    <col min="5" max="6" width="13.42578125" style="2" customWidth="1"/>
    <col min="7" max="7" width="17" style="2" customWidth="1"/>
    <col min="8" max="8" width="12.140625" style="2" customWidth="1"/>
    <col min="9" max="16384" width="9.140625" style="3"/>
  </cols>
  <sheetData>
    <row r="2" spans="1:8" ht="44.25" customHeight="1" x14ac:dyDescent="0.5">
      <c r="A2" s="61" t="s">
        <v>105</v>
      </c>
      <c r="B2" s="62"/>
      <c r="C2" s="62"/>
      <c r="D2" s="62"/>
      <c r="E2" s="62"/>
      <c r="F2" s="62"/>
    </row>
    <row r="3" spans="1:8" s="6" customFormat="1" ht="63.75" customHeight="1" x14ac:dyDescent="0.25">
      <c r="A3" s="5" t="s">
        <v>0</v>
      </c>
      <c r="B3" s="4" t="s">
        <v>79</v>
      </c>
      <c r="C3" s="5" t="s">
        <v>19</v>
      </c>
      <c r="D3" s="5" t="s">
        <v>80</v>
      </c>
      <c r="E3" s="5" t="s">
        <v>634</v>
      </c>
      <c r="F3" s="5" t="s">
        <v>635</v>
      </c>
      <c r="G3" s="5" t="s">
        <v>639</v>
      </c>
      <c r="H3" s="5" t="s">
        <v>638</v>
      </c>
    </row>
    <row r="4" spans="1:8" ht="15" customHeight="1" x14ac:dyDescent="0.25">
      <c r="A4" s="9" t="s">
        <v>4</v>
      </c>
      <c r="B4" s="2" t="s">
        <v>81</v>
      </c>
      <c r="C4" s="2">
        <v>150</v>
      </c>
      <c r="D4" s="2">
        <v>210</v>
      </c>
      <c r="E4" s="2">
        <v>8</v>
      </c>
      <c r="F4" s="2">
        <v>0</v>
      </c>
      <c r="G4" s="2">
        <f>E4-F4</f>
        <v>8</v>
      </c>
      <c r="H4" s="2" t="str">
        <f>IF(G4&lt;=2,"Reorder","Available")</f>
        <v>Available</v>
      </c>
    </row>
    <row r="5" spans="1:8" ht="15" customHeight="1" x14ac:dyDescent="0.25">
      <c r="A5" s="60" t="s">
        <v>10</v>
      </c>
      <c r="B5" s="7" t="s">
        <v>82</v>
      </c>
      <c r="C5" s="2">
        <v>150</v>
      </c>
      <c r="D5" s="2">
        <v>210</v>
      </c>
      <c r="E5" s="2">
        <v>11</v>
      </c>
      <c r="F5" s="2">
        <v>8</v>
      </c>
      <c r="G5" s="2">
        <f t="shared" ref="G5:G24" si="0">E5-F5</f>
        <v>3</v>
      </c>
      <c r="H5" s="2" t="str">
        <f t="shared" ref="H5:H24" si="1">IF(G5&lt;=2,"Reorder","Available")</f>
        <v>Available</v>
      </c>
    </row>
    <row r="6" spans="1:8" ht="15" customHeight="1" x14ac:dyDescent="0.25">
      <c r="A6" s="60"/>
      <c r="B6" s="7" t="s">
        <v>809</v>
      </c>
      <c r="C6" s="2">
        <v>210</v>
      </c>
      <c r="D6" s="2">
        <v>260</v>
      </c>
      <c r="E6" s="2">
        <v>6</v>
      </c>
      <c r="F6" s="2">
        <v>6</v>
      </c>
      <c r="G6" s="2">
        <f t="shared" si="0"/>
        <v>0</v>
      </c>
      <c r="H6" s="2" t="str">
        <f t="shared" si="1"/>
        <v>Reorder</v>
      </c>
    </row>
    <row r="7" spans="1:8" ht="15" customHeight="1" x14ac:dyDescent="0.25">
      <c r="A7" s="60"/>
      <c r="B7" s="7" t="s">
        <v>810</v>
      </c>
      <c r="C7" s="2">
        <v>210</v>
      </c>
      <c r="D7" s="2">
        <v>260</v>
      </c>
      <c r="E7" s="2">
        <v>7</v>
      </c>
      <c r="F7" s="2">
        <v>2</v>
      </c>
      <c r="G7" s="2">
        <f t="shared" si="0"/>
        <v>5</v>
      </c>
      <c r="H7" s="2" t="str">
        <f t="shared" si="1"/>
        <v>Available</v>
      </c>
    </row>
    <row r="8" spans="1:8" ht="15" customHeight="1" x14ac:dyDescent="0.25">
      <c r="A8" s="60"/>
      <c r="B8" s="7" t="s">
        <v>811</v>
      </c>
      <c r="C8" s="2">
        <v>210</v>
      </c>
      <c r="D8" s="2">
        <v>260</v>
      </c>
      <c r="E8" s="2">
        <v>6</v>
      </c>
      <c r="F8" s="2">
        <v>4</v>
      </c>
      <c r="G8" s="2">
        <f t="shared" si="0"/>
        <v>2</v>
      </c>
      <c r="H8" s="2" t="str">
        <f t="shared" si="1"/>
        <v>Reorder</v>
      </c>
    </row>
    <row r="9" spans="1:8" ht="15" customHeight="1" x14ac:dyDescent="0.25">
      <c r="A9" s="60"/>
      <c r="B9" s="7" t="s">
        <v>812</v>
      </c>
      <c r="C9" s="2">
        <v>210</v>
      </c>
      <c r="D9" s="2">
        <v>260</v>
      </c>
      <c r="E9" s="2">
        <v>8</v>
      </c>
      <c r="F9" s="2">
        <v>8</v>
      </c>
      <c r="G9" s="2">
        <f t="shared" si="0"/>
        <v>0</v>
      </c>
      <c r="H9" s="2" t="str">
        <f t="shared" si="1"/>
        <v>Reorder</v>
      </c>
    </row>
    <row r="10" spans="1:8" ht="15" customHeight="1" x14ac:dyDescent="0.25">
      <c r="A10" s="60"/>
      <c r="B10" s="7" t="s">
        <v>813</v>
      </c>
      <c r="C10" s="2">
        <v>210</v>
      </c>
      <c r="D10" s="2">
        <v>260</v>
      </c>
      <c r="E10" s="2">
        <v>3</v>
      </c>
      <c r="F10" s="2">
        <v>1</v>
      </c>
      <c r="G10" s="2">
        <f t="shared" si="0"/>
        <v>2</v>
      </c>
      <c r="H10" s="2" t="str">
        <f t="shared" si="1"/>
        <v>Reorder</v>
      </c>
    </row>
    <row r="11" spans="1:8" ht="15" customHeight="1" x14ac:dyDescent="0.25">
      <c r="A11" s="60"/>
      <c r="B11" s="7" t="s">
        <v>83</v>
      </c>
      <c r="C11" s="2">
        <v>215</v>
      </c>
      <c r="D11" s="2">
        <v>265</v>
      </c>
      <c r="E11" s="2">
        <v>3</v>
      </c>
      <c r="F11" s="2">
        <v>0</v>
      </c>
      <c r="G11" s="2">
        <f t="shared" si="0"/>
        <v>3</v>
      </c>
      <c r="H11" s="2" t="str">
        <f t="shared" si="1"/>
        <v>Available</v>
      </c>
    </row>
    <row r="12" spans="1:8" ht="15" customHeight="1" x14ac:dyDescent="0.25">
      <c r="A12" s="12"/>
      <c r="B12" s="7" t="s">
        <v>84</v>
      </c>
      <c r="C12" s="2">
        <v>210</v>
      </c>
      <c r="D12" s="2">
        <v>260</v>
      </c>
      <c r="E12" s="2">
        <v>2</v>
      </c>
      <c r="F12" s="2">
        <v>0</v>
      </c>
      <c r="G12" s="2">
        <f t="shared" si="0"/>
        <v>2</v>
      </c>
      <c r="H12" s="2" t="str">
        <f t="shared" si="1"/>
        <v>Reorder</v>
      </c>
    </row>
    <row r="13" spans="1:8" ht="15" customHeight="1" x14ac:dyDescent="0.25">
      <c r="A13" s="58" t="s">
        <v>85</v>
      </c>
      <c r="B13" s="7" t="s">
        <v>427</v>
      </c>
      <c r="C13" s="2">
        <v>250</v>
      </c>
      <c r="D13" s="2">
        <v>300</v>
      </c>
      <c r="E13" s="2">
        <v>3</v>
      </c>
      <c r="F13" s="2">
        <v>3</v>
      </c>
      <c r="G13" s="2">
        <f t="shared" si="0"/>
        <v>0</v>
      </c>
      <c r="H13" s="2" t="str">
        <f t="shared" si="1"/>
        <v>Reorder</v>
      </c>
    </row>
    <row r="14" spans="1:8" ht="15" customHeight="1" x14ac:dyDescent="0.25">
      <c r="A14" s="63"/>
      <c r="B14" s="7" t="s">
        <v>260</v>
      </c>
      <c r="C14" s="2">
        <v>250</v>
      </c>
      <c r="D14" s="2">
        <v>300</v>
      </c>
      <c r="E14" s="2">
        <v>5</v>
      </c>
      <c r="F14" s="2">
        <v>1</v>
      </c>
      <c r="G14" s="2">
        <f t="shared" si="0"/>
        <v>4</v>
      </c>
      <c r="H14" s="2" t="str">
        <f t="shared" si="1"/>
        <v>Available</v>
      </c>
    </row>
    <row r="15" spans="1:8" s="6" customFormat="1" ht="15" customHeight="1" x14ac:dyDescent="0.25">
      <c r="A15" s="63"/>
      <c r="B15" s="7" t="s">
        <v>814</v>
      </c>
      <c r="C15" s="7">
        <v>210</v>
      </c>
      <c r="D15" s="7">
        <v>260</v>
      </c>
      <c r="E15" s="7">
        <v>5</v>
      </c>
      <c r="F15" s="7">
        <v>0</v>
      </c>
      <c r="G15" s="7">
        <f t="shared" si="0"/>
        <v>5</v>
      </c>
      <c r="H15" s="7" t="str">
        <f t="shared" si="1"/>
        <v>Available</v>
      </c>
    </row>
    <row r="16" spans="1:8" ht="15" customHeight="1" x14ac:dyDescent="0.25">
      <c r="A16" s="63"/>
      <c r="B16" s="7" t="s">
        <v>86</v>
      </c>
      <c r="C16" s="2">
        <v>310</v>
      </c>
      <c r="D16" s="2">
        <v>390</v>
      </c>
      <c r="E16" s="2">
        <v>6</v>
      </c>
      <c r="F16" s="2">
        <v>0</v>
      </c>
      <c r="G16" s="2">
        <f t="shared" si="0"/>
        <v>6</v>
      </c>
      <c r="H16" s="2" t="str">
        <f t="shared" si="1"/>
        <v>Available</v>
      </c>
    </row>
    <row r="17" spans="1:11" ht="15" hidden="1" customHeight="1" x14ac:dyDescent="0.25">
      <c r="A17" s="63"/>
      <c r="B17" s="7"/>
      <c r="C17" s="2"/>
      <c r="D17" s="2"/>
      <c r="F17" s="2">
        <v>0</v>
      </c>
      <c r="G17" s="2">
        <f t="shared" si="0"/>
        <v>0</v>
      </c>
      <c r="H17" s="2" t="str">
        <f t="shared" si="1"/>
        <v>Reorder</v>
      </c>
    </row>
    <row r="18" spans="1:11" ht="15" hidden="1" customHeight="1" x14ac:dyDescent="0.25">
      <c r="A18" s="63"/>
      <c r="B18" s="7"/>
      <c r="C18" s="2"/>
      <c r="D18" s="2"/>
      <c r="F18" s="2">
        <v>0</v>
      </c>
      <c r="G18" s="2">
        <f t="shared" si="0"/>
        <v>0</v>
      </c>
      <c r="H18" s="2" t="str">
        <f t="shared" si="1"/>
        <v>Reorder</v>
      </c>
    </row>
    <row r="19" spans="1:11" ht="15" hidden="1" customHeight="1" x14ac:dyDescent="0.25">
      <c r="A19" s="59"/>
      <c r="B19" s="7"/>
      <c r="C19" s="2"/>
      <c r="D19" s="2"/>
      <c r="F19" s="2">
        <v>0</v>
      </c>
      <c r="G19" s="2">
        <f t="shared" si="0"/>
        <v>0</v>
      </c>
      <c r="H19" s="2" t="str">
        <f t="shared" si="1"/>
        <v>Reorder</v>
      </c>
    </row>
    <row r="20" spans="1:11" ht="15" customHeight="1" x14ac:dyDescent="0.25">
      <c r="A20" s="58" t="s">
        <v>22</v>
      </c>
      <c r="B20" s="7" t="s">
        <v>644</v>
      </c>
      <c r="C20" s="2">
        <v>250</v>
      </c>
      <c r="D20" s="2">
        <v>320</v>
      </c>
      <c r="E20" s="2">
        <v>7</v>
      </c>
      <c r="F20" s="2">
        <v>0</v>
      </c>
      <c r="G20" s="2">
        <f t="shared" si="0"/>
        <v>7</v>
      </c>
      <c r="H20" s="2" t="str">
        <f t="shared" si="1"/>
        <v>Available</v>
      </c>
    </row>
    <row r="21" spans="1:11" ht="15" customHeight="1" x14ac:dyDescent="0.25">
      <c r="A21" s="63"/>
      <c r="B21" s="7" t="s">
        <v>645</v>
      </c>
      <c r="C21" s="2">
        <v>250</v>
      </c>
      <c r="D21" s="2">
        <v>290</v>
      </c>
      <c r="E21" s="2">
        <v>6</v>
      </c>
      <c r="F21" s="2">
        <v>3</v>
      </c>
      <c r="G21" s="2">
        <f t="shared" si="0"/>
        <v>3</v>
      </c>
      <c r="H21" s="2" t="str">
        <f t="shared" si="1"/>
        <v>Available</v>
      </c>
    </row>
    <row r="22" spans="1:11" ht="15" customHeight="1" x14ac:dyDescent="0.25">
      <c r="A22" s="59"/>
      <c r="B22" s="2" t="s">
        <v>87</v>
      </c>
      <c r="C22" s="2">
        <v>300</v>
      </c>
      <c r="D22" s="2">
        <v>350</v>
      </c>
      <c r="E22" s="2">
        <v>7</v>
      </c>
      <c r="F22" s="2">
        <v>2</v>
      </c>
      <c r="G22" s="2">
        <f t="shared" si="0"/>
        <v>5</v>
      </c>
      <c r="H22" s="2" t="str">
        <f t="shared" si="1"/>
        <v>Available</v>
      </c>
    </row>
    <row r="23" spans="1:11" ht="15" customHeight="1" x14ac:dyDescent="0.25">
      <c r="A23" s="11"/>
      <c r="B23" s="2" t="s">
        <v>932</v>
      </c>
      <c r="C23" s="2">
        <v>300</v>
      </c>
      <c r="D23" s="2">
        <v>380</v>
      </c>
      <c r="E23" s="2">
        <v>5</v>
      </c>
      <c r="F23" s="2">
        <v>0</v>
      </c>
      <c r="G23" s="2">
        <f t="shared" si="0"/>
        <v>5</v>
      </c>
      <c r="H23" s="2" t="str">
        <f t="shared" si="1"/>
        <v>Available</v>
      </c>
    </row>
    <row r="24" spans="1:11" ht="15" customHeight="1" x14ac:dyDescent="0.25">
      <c r="A24" s="11"/>
      <c r="B24" s="2" t="s">
        <v>933</v>
      </c>
      <c r="C24" s="2">
        <v>330</v>
      </c>
      <c r="D24" s="2">
        <v>400</v>
      </c>
      <c r="E24" s="2">
        <v>4</v>
      </c>
      <c r="F24" s="2">
        <v>1</v>
      </c>
      <c r="G24" s="2">
        <f t="shared" si="0"/>
        <v>3</v>
      </c>
      <c r="H24" s="2" t="str">
        <f t="shared" si="1"/>
        <v>Available</v>
      </c>
      <c r="K24" s="3" t="s">
        <v>823</v>
      </c>
    </row>
    <row r="25" spans="1:11" ht="15" customHeight="1" x14ac:dyDescent="0.25">
      <c r="A25" s="65" t="s">
        <v>107</v>
      </c>
      <c r="B25" s="66"/>
      <c r="C25" s="66"/>
      <c r="D25" s="66"/>
      <c r="E25" s="66"/>
      <c r="F25" s="66"/>
      <c r="G25" s="66"/>
      <c r="H25" s="67"/>
    </row>
    <row r="26" spans="1:11" ht="15" customHeight="1" x14ac:dyDescent="0.25">
      <c r="A26" s="68"/>
      <c r="B26" s="69"/>
      <c r="C26" s="69"/>
      <c r="D26" s="69"/>
      <c r="E26" s="69"/>
      <c r="F26" s="69"/>
      <c r="G26" s="69"/>
      <c r="H26" s="70"/>
    </row>
    <row r="27" spans="1:11" ht="15" customHeight="1" x14ac:dyDescent="0.25">
      <c r="A27" s="13"/>
      <c r="B27" s="14" t="s">
        <v>88</v>
      </c>
      <c r="C27" s="13" t="s">
        <v>89</v>
      </c>
      <c r="D27" s="13" t="s">
        <v>80</v>
      </c>
      <c r="E27" s="14" t="s">
        <v>634</v>
      </c>
      <c r="F27" s="14" t="s">
        <v>635</v>
      </c>
      <c r="G27" s="14" t="s">
        <v>641</v>
      </c>
      <c r="H27" s="14" t="s">
        <v>638</v>
      </c>
    </row>
    <row r="28" spans="1:11" ht="15" customHeight="1" x14ac:dyDescent="0.25">
      <c r="A28" s="11"/>
      <c r="B28" s="2" t="s">
        <v>815</v>
      </c>
      <c r="C28" s="2">
        <v>100</v>
      </c>
      <c r="D28" s="2">
        <v>150</v>
      </c>
      <c r="E28" s="2">
        <v>9</v>
      </c>
      <c r="F28" s="2">
        <v>0</v>
      </c>
      <c r="G28" s="2">
        <f>E28-F28</f>
        <v>9</v>
      </c>
      <c r="H28" s="2" t="str">
        <f>IF(G28&lt;=2,"Reorder","Available")</f>
        <v>Available</v>
      </c>
    </row>
    <row r="29" spans="1:11" ht="15" customHeight="1" x14ac:dyDescent="0.25">
      <c r="A29" s="11"/>
      <c r="B29" s="2" t="s">
        <v>816</v>
      </c>
      <c r="C29" s="2">
        <v>100</v>
      </c>
      <c r="D29" s="2">
        <v>150</v>
      </c>
      <c r="E29" s="2">
        <v>8</v>
      </c>
      <c r="F29" s="2">
        <v>0</v>
      </c>
      <c r="G29" s="2">
        <f t="shared" ref="G29:G35" si="2">E29-F29</f>
        <v>8</v>
      </c>
      <c r="H29" s="2" t="str">
        <f t="shared" ref="H29:H35" si="3">IF(G29&lt;=2,"Reorder","Available")</f>
        <v>Available</v>
      </c>
    </row>
    <row r="30" spans="1:11" ht="15" customHeight="1" x14ac:dyDescent="0.25">
      <c r="A30" s="11"/>
      <c r="B30" s="2" t="s">
        <v>48</v>
      </c>
      <c r="C30" s="2">
        <v>240</v>
      </c>
      <c r="D30" s="2">
        <v>300</v>
      </c>
      <c r="E30" s="2">
        <v>5</v>
      </c>
      <c r="F30" s="2">
        <v>1</v>
      </c>
      <c r="G30" s="2">
        <f t="shared" si="2"/>
        <v>4</v>
      </c>
      <c r="H30" s="2" t="str">
        <f t="shared" si="3"/>
        <v>Available</v>
      </c>
    </row>
    <row r="31" spans="1:11" ht="15" x14ac:dyDescent="0.25">
      <c r="A31" s="10"/>
      <c r="B31" s="2" t="s">
        <v>49</v>
      </c>
      <c r="C31" s="2">
        <v>200</v>
      </c>
      <c r="D31" s="2">
        <v>250</v>
      </c>
      <c r="E31" s="2">
        <v>5</v>
      </c>
      <c r="F31" s="2">
        <v>1</v>
      </c>
      <c r="G31" s="2">
        <f t="shared" si="2"/>
        <v>4</v>
      </c>
      <c r="H31" s="2" t="str">
        <f t="shared" si="3"/>
        <v>Available</v>
      </c>
    </row>
    <row r="32" spans="1:11" ht="15" x14ac:dyDescent="0.25">
      <c r="A32" s="10"/>
      <c r="B32" s="2" t="s">
        <v>90</v>
      </c>
      <c r="C32" s="2">
        <v>100</v>
      </c>
      <c r="D32" s="2">
        <v>150</v>
      </c>
      <c r="E32" s="2">
        <v>16</v>
      </c>
      <c r="F32" s="2">
        <v>2</v>
      </c>
      <c r="G32" s="2">
        <f t="shared" si="2"/>
        <v>14</v>
      </c>
      <c r="H32" s="2" t="str">
        <f t="shared" si="3"/>
        <v>Available</v>
      </c>
    </row>
    <row r="33" spans="1:8" ht="15" x14ac:dyDescent="0.25">
      <c r="A33" s="10"/>
      <c r="B33" s="2" t="s">
        <v>91</v>
      </c>
      <c r="C33" s="2">
        <v>125</v>
      </c>
      <c r="D33" s="2">
        <v>250</v>
      </c>
      <c r="E33" s="2">
        <v>4</v>
      </c>
      <c r="F33" s="2">
        <v>0</v>
      </c>
      <c r="G33" s="2">
        <f t="shared" si="2"/>
        <v>4</v>
      </c>
      <c r="H33" s="2" t="str">
        <f t="shared" si="3"/>
        <v>Available</v>
      </c>
    </row>
    <row r="34" spans="1:8" ht="15" x14ac:dyDescent="0.25">
      <c r="A34" s="10"/>
      <c r="B34" s="2" t="s">
        <v>92</v>
      </c>
      <c r="C34" s="2">
        <v>100</v>
      </c>
      <c r="D34" s="2">
        <v>150</v>
      </c>
      <c r="E34" s="2">
        <v>12</v>
      </c>
      <c r="F34" s="2">
        <v>7</v>
      </c>
      <c r="G34" s="2">
        <f t="shared" si="2"/>
        <v>5</v>
      </c>
      <c r="H34" s="2" t="str">
        <f t="shared" si="3"/>
        <v>Available</v>
      </c>
    </row>
    <row r="35" spans="1:8" ht="15" x14ac:dyDescent="0.25">
      <c r="A35" s="10"/>
      <c r="B35" s="2" t="s">
        <v>12</v>
      </c>
      <c r="C35" s="2">
        <v>100</v>
      </c>
      <c r="D35" s="2">
        <v>150</v>
      </c>
      <c r="E35" s="2">
        <v>14</v>
      </c>
      <c r="F35" s="2">
        <v>8</v>
      </c>
      <c r="G35" s="2">
        <f t="shared" si="2"/>
        <v>6</v>
      </c>
      <c r="H35" s="2" t="str">
        <f t="shared" si="3"/>
        <v>Available</v>
      </c>
    </row>
    <row r="36" spans="1:8" ht="15" x14ac:dyDescent="0.25">
      <c r="A36" s="10"/>
      <c r="C36" s="2"/>
      <c r="D36" s="2"/>
    </row>
    <row r="37" spans="1:8" x14ac:dyDescent="0.4">
      <c r="C37" s="2"/>
      <c r="D37" s="2"/>
    </row>
    <row r="38" spans="1:8" x14ac:dyDescent="0.4">
      <c r="C38" s="2"/>
      <c r="D38" s="2"/>
    </row>
    <row r="39" spans="1:8" x14ac:dyDescent="0.4">
      <c r="C39" s="2"/>
      <c r="D39" s="2"/>
    </row>
    <row r="40" spans="1:8" x14ac:dyDescent="0.4">
      <c r="D40" s="2"/>
    </row>
    <row r="41" spans="1:8" x14ac:dyDescent="0.4">
      <c r="D41" s="2"/>
    </row>
    <row r="42" spans="1:8" x14ac:dyDescent="0.4">
      <c r="D42" s="2"/>
    </row>
    <row r="43" spans="1:8" x14ac:dyDescent="0.4">
      <c r="D43" s="2"/>
    </row>
    <row r="44" spans="1:8" x14ac:dyDescent="0.4">
      <c r="D44" s="2"/>
    </row>
  </sheetData>
  <mergeCells count="5">
    <mergeCell ref="A2:F2"/>
    <mergeCell ref="A5:A11"/>
    <mergeCell ref="A20:A22"/>
    <mergeCell ref="A25:H26"/>
    <mergeCell ref="A13:A19"/>
  </mergeCells>
  <conditionalFormatting sqref="B32:D36 A1:F2 A3:E3 D28:D31 B28:C30 E27:E30 B4:E24 A31:D31 C37:C39 D37:D44 E32:E45">
    <cfRule type="expression" dxfId="581" priority="2">
      <formula>ROW()=CELL(ROW)</formula>
    </cfRule>
  </conditionalFormatting>
  <conditionalFormatting sqref="H1:H24 H27:H1048576">
    <cfRule type="containsText" dxfId="580" priority="1" operator="containsText" text="Reorder">
      <formula>NOT(ISERROR(SEARCH("Reorder",H1)))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1"/>
  <sheetViews>
    <sheetView workbookViewId="0">
      <selection activeCell="D14" sqref="D14"/>
    </sheetView>
  </sheetViews>
  <sheetFormatPr defaultRowHeight="15" x14ac:dyDescent="0.25"/>
  <cols>
    <col min="1" max="1" width="58.7109375" style="2" bestFit="1" customWidth="1"/>
    <col min="2" max="2" width="18.85546875" style="2" customWidth="1"/>
    <col min="3" max="3" width="18.5703125" style="2" customWidth="1"/>
    <col min="4" max="4" width="11.7109375" style="2" customWidth="1"/>
    <col min="5" max="5" width="13.42578125" style="2" customWidth="1"/>
    <col min="6" max="6" width="17.5703125" style="2" customWidth="1"/>
    <col min="7" max="7" width="11.7109375" style="2" customWidth="1"/>
    <col min="8" max="16384" width="9.140625" style="2"/>
  </cols>
  <sheetData>
    <row r="1" spans="1:7" ht="44.25" customHeight="1" x14ac:dyDescent="0.25">
      <c r="A1" s="71" t="s">
        <v>104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365</v>
      </c>
      <c r="C2" s="5" t="s">
        <v>655</v>
      </c>
      <c r="D2" s="5" t="s">
        <v>634</v>
      </c>
      <c r="E2" s="5" t="s">
        <v>635</v>
      </c>
      <c r="F2" s="5" t="s">
        <v>639</v>
      </c>
      <c r="G2" s="5" t="s">
        <v>638</v>
      </c>
    </row>
    <row r="3" spans="1:7" ht="15" customHeight="1" x14ac:dyDescent="0.25">
      <c r="A3" s="2" t="s">
        <v>875</v>
      </c>
      <c r="B3" s="2">
        <v>90</v>
      </c>
      <c r="C3" s="2">
        <v>150</v>
      </c>
      <c r="D3" s="2">
        <v>20</v>
      </c>
      <c r="E3" s="2">
        <v>10</v>
      </c>
      <c r="F3" s="2">
        <f>D3-E3</f>
        <v>10</v>
      </c>
      <c r="G3" s="2" t="str">
        <f>IF(F5&lt;=3,"Reorder","Available")</f>
        <v>Available</v>
      </c>
    </row>
    <row r="4" spans="1:7" ht="15" customHeight="1" x14ac:dyDescent="0.25">
      <c r="A4" s="2" t="s">
        <v>874</v>
      </c>
      <c r="B4" s="2">
        <v>150</v>
      </c>
      <c r="C4" s="2">
        <v>205</v>
      </c>
      <c r="D4" s="2">
        <v>26</v>
      </c>
      <c r="E4" s="2">
        <v>7</v>
      </c>
      <c r="F4" s="2">
        <f t="shared" ref="F4:F41" si="0">D4-E4</f>
        <v>19</v>
      </c>
      <c r="G4" s="2" t="str">
        <f t="shared" ref="G4:G7" si="1">IF(F4&lt;=5,"Reorder","Available")</f>
        <v>Available</v>
      </c>
    </row>
    <row r="5" spans="1:7" ht="15" customHeight="1" x14ac:dyDescent="0.25">
      <c r="A5" s="2" t="s">
        <v>77</v>
      </c>
      <c r="B5" s="2">
        <v>90</v>
      </c>
      <c r="C5" s="2">
        <v>150</v>
      </c>
      <c r="D5" s="2">
        <v>20</v>
      </c>
      <c r="E5" s="2">
        <v>3</v>
      </c>
      <c r="F5" s="2">
        <f t="shared" si="0"/>
        <v>17</v>
      </c>
      <c r="G5" s="2" t="str">
        <f>IF(F5&lt;=5,"Reorder","Available")</f>
        <v>Available</v>
      </c>
    </row>
    <row r="6" spans="1:7" ht="15" customHeight="1" x14ac:dyDescent="0.25">
      <c r="A6" s="2" t="s">
        <v>1006</v>
      </c>
      <c r="B6" s="2">
        <v>150</v>
      </c>
      <c r="C6" s="2">
        <v>200</v>
      </c>
      <c r="D6" s="2">
        <v>15</v>
      </c>
      <c r="E6" s="2">
        <v>14</v>
      </c>
      <c r="F6" s="2">
        <f t="shared" si="0"/>
        <v>1</v>
      </c>
      <c r="G6" s="2" t="str">
        <f t="shared" si="1"/>
        <v>Reorder</v>
      </c>
    </row>
    <row r="7" spans="1:7" ht="15" customHeight="1" x14ac:dyDescent="0.25">
      <c r="A7" s="2" t="s">
        <v>1077</v>
      </c>
      <c r="B7" s="2">
        <v>150</v>
      </c>
      <c r="C7" s="2">
        <v>200</v>
      </c>
      <c r="D7" s="2">
        <v>20</v>
      </c>
      <c r="E7" s="2">
        <v>9</v>
      </c>
      <c r="F7" s="2">
        <f t="shared" si="0"/>
        <v>11</v>
      </c>
      <c r="G7" s="2" t="str">
        <f t="shared" si="1"/>
        <v>Available</v>
      </c>
    </row>
    <row r="8" spans="1:7" ht="15" customHeight="1" x14ac:dyDescent="0.25">
      <c r="A8" s="2" t="s">
        <v>78</v>
      </c>
      <c r="B8" s="2">
        <v>100</v>
      </c>
      <c r="C8" s="2">
        <v>150</v>
      </c>
      <c r="D8" s="2">
        <v>20</v>
      </c>
      <c r="E8" s="2">
        <v>14</v>
      </c>
      <c r="F8" s="2">
        <f t="shared" si="0"/>
        <v>6</v>
      </c>
      <c r="G8" s="2" t="str">
        <f t="shared" ref="G8:G41" si="2">IF(F8&lt;=5,"Reorder","Available")</f>
        <v>Available</v>
      </c>
    </row>
    <row r="9" spans="1:7" ht="15" hidden="1" customHeight="1" x14ac:dyDescent="0.25">
      <c r="F9" s="2">
        <f t="shared" si="0"/>
        <v>0</v>
      </c>
      <c r="G9" s="2" t="str">
        <f t="shared" si="2"/>
        <v>Reorder</v>
      </c>
    </row>
    <row r="10" spans="1:7" ht="15" hidden="1" customHeight="1" x14ac:dyDescent="0.25">
      <c r="F10" s="2">
        <f t="shared" si="0"/>
        <v>0</v>
      </c>
      <c r="G10" s="2" t="str">
        <f t="shared" si="2"/>
        <v>Reorder</v>
      </c>
    </row>
    <row r="11" spans="1:7" ht="15" hidden="1" customHeight="1" x14ac:dyDescent="0.25">
      <c r="F11" s="2">
        <f t="shared" si="0"/>
        <v>0</v>
      </c>
      <c r="G11" s="2" t="str">
        <f t="shared" si="2"/>
        <v>Reorder</v>
      </c>
    </row>
    <row r="12" spans="1:7" ht="15" customHeight="1" x14ac:dyDescent="0.25">
      <c r="A12" s="2" t="s">
        <v>1012</v>
      </c>
      <c r="B12" s="2">
        <v>150</v>
      </c>
      <c r="C12" s="2">
        <v>200</v>
      </c>
      <c r="D12" s="2">
        <v>20</v>
      </c>
      <c r="E12" s="2">
        <v>2</v>
      </c>
      <c r="F12" s="2">
        <f t="shared" si="0"/>
        <v>18</v>
      </c>
      <c r="G12" s="2" t="str">
        <f t="shared" si="2"/>
        <v>Available</v>
      </c>
    </row>
    <row r="13" spans="1:7" ht="15" customHeight="1" x14ac:dyDescent="0.25">
      <c r="A13" s="2" t="s">
        <v>94</v>
      </c>
      <c r="B13" s="2">
        <v>130</v>
      </c>
      <c r="C13" s="2">
        <v>180</v>
      </c>
      <c r="D13" s="2">
        <v>4</v>
      </c>
      <c r="E13" s="2">
        <v>0</v>
      </c>
      <c r="F13" s="2">
        <f t="shared" si="0"/>
        <v>4</v>
      </c>
      <c r="G13" s="2" t="str">
        <f t="shared" si="2"/>
        <v>Reorder</v>
      </c>
    </row>
    <row r="14" spans="1:7" ht="15" customHeight="1" x14ac:dyDescent="0.25">
      <c r="A14" s="2" t="s">
        <v>803</v>
      </c>
      <c r="B14" s="2">
        <v>100</v>
      </c>
      <c r="C14" s="2">
        <v>150</v>
      </c>
      <c r="D14" s="2">
        <v>20</v>
      </c>
      <c r="E14" s="2">
        <v>7</v>
      </c>
      <c r="F14" s="2">
        <f t="shared" si="0"/>
        <v>13</v>
      </c>
      <c r="G14" s="2" t="str">
        <f t="shared" si="2"/>
        <v>Available</v>
      </c>
    </row>
    <row r="15" spans="1:7" ht="15" customHeight="1" x14ac:dyDescent="0.25">
      <c r="A15" s="2" t="s">
        <v>805</v>
      </c>
      <c r="B15" s="2">
        <v>90</v>
      </c>
      <c r="C15" s="2">
        <v>150</v>
      </c>
      <c r="D15" s="2">
        <v>14</v>
      </c>
      <c r="E15" s="2">
        <v>3</v>
      </c>
      <c r="F15" s="2">
        <f t="shared" si="0"/>
        <v>11</v>
      </c>
      <c r="G15" s="2" t="str">
        <f t="shared" si="2"/>
        <v>Available</v>
      </c>
    </row>
    <row r="16" spans="1:7" ht="15" customHeight="1" x14ac:dyDescent="0.25">
      <c r="A16" s="2" t="s">
        <v>93</v>
      </c>
      <c r="B16" s="2">
        <v>120</v>
      </c>
      <c r="C16" s="2">
        <v>180</v>
      </c>
      <c r="D16" s="2">
        <v>9</v>
      </c>
      <c r="E16" s="2">
        <v>0</v>
      </c>
      <c r="F16" s="2">
        <f t="shared" si="0"/>
        <v>9</v>
      </c>
      <c r="G16" s="2" t="str">
        <f t="shared" si="2"/>
        <v>Available</v>
      </c>
    </row>
    <row r="17" spans="1:7" ht="15" customHeight="1" x14ac:dyDescent="0.25">
      <c r="A17" s="2" t="s">
        <v>95</v>
      </c>
      <c r="B17" s="2">
        <v>95</v>
      </c>
      <c r="C17" s="2">
        <v>150</v>
      </c>
      <c r="D17" s="2">
        <v>30</v>
      </c>
      <c r="E17" s="2">
        <v>3</v>
      </c>
      <c r="F17" s="2">
        <f t="shared" si="0"/>
        <v>27</v>
      </c>
      <c r="G17" s="2" t="str">
        <f t="shared" si="2"/>
        <v>Available</v>
      </c>
    </row>
    <row r="18" spans="1:7" ht="15" customHeight="1" x14ac:dyDescent="0.25">
      <c r="A18" s="2" t="s">
        <v>96</v>
      </c>
      <c r="B18" s="2">
        <v>100</v>
      </c>
      <c r="C18" s="2">
        <v>170</v>
      </c>
      <c r="D18" s="2">
        <v>10</v>
      </c>
      <c r="E18" s="2">
        <v>2</v>
      </c>
      <c r="F18" s="2">
        <f t="shared" si="0"/>
        <v>8</v>
      </c>
      <c r="G18" s="2" t="str">
        <f t="shared" si="2"/>
        <v>Available</v>
      </c>
    </row>
    <row r="19" spans="1:7" x14ac:dyDescent="0.25">
      <c r="A19" s="2" t="s">
        <v>627</v>
      </c>
      <c r="B19" s="2">
        <v>150</v>
      </c>
      <c r="C19" s="2">
        <v>200</v>
      </c>
      <c r="D19" s="2">
        <v>33</v>
      </c>
      <c r="E19" s="2">
        <v>7</v>
      </c>
      <c r="F19" s="2">
        <f t="shared" si="0"/>
        <v>26</v>
      </c>
      <c r="G19" s="2" t="str">
        <f t="shared" ref="G19:G20" si="3">IF(F19&lt;=5,"Reorder","Available")</f>
        <v>Available</v>
      </c>
    </row>
    <row r="20" spans="1:7" x14ac:dyDescent="0.25">
      <c r="A20" s="2" t="s">
        <v>1047</v>
      </c>
      <c r="B20" s="2">
        <v>150</v>
      </c>
      <c r="C20" s="2">
        <v>200</v>
      </c>
      <c r="D20" s="2">
        <v>20</v>
      </c>
      <c r="E20" s="2">
        <v>1</v>
      </c>
      <c r="F20" s="2">
        <f t="shared" si="0"/>
        <v>19</v>
      </c>
      <c r="G20" s="2" t="str">
        <f t="shared" si="3"/>
        <v>Available</v>
      </c>
    </row>
    <row r="21" spans="1:7" ht="15" customHeight="1" x14ac:dyDescent="0.25">
      <c r="A21" s="2" t="s">
        <v>97</v>
      </c>
      <c r="B21" s="2">
        <v>95</v>
      </c>
      <c r="C21" s="2">
        <v>150</v>
      </c>
      <c r="D21" s="2">
        <v>15</v>
      </c>
      <c r="E21" s="2">
        <v>4</v>
      </c>
      <c r="F21" s="2">
        <f t="shared" si="0"/>
        <v>11</v>
      </c>
      <c r="G21" s="2" t="str">
        <f t="shared" si="2"/>
        <v>Available</v>
      </c>
    </row>
    <row r="22" spans="1:7" ht="15" customHeight="1" x14ac:dyDescent="0.25">
      <c r="A22" s="2" t="s">
        <v>904</v>
      </c>
      <c r="B22" s="2">
        <v>150</v>
      </c>
      <c r="C22" s="2">
        <v>200</v>
      </c>
      <c r="D22" s="2">
        <v>10</v>
      </c>
      <c r="E22" s="2">
        <v>8</v>
      </c>
      <c r="F22" s="2">
        <f t="shared" si="0"/>
        <v>2</v>
      </c>
      <c r="G22" s="2" t="str">
        <f t="shared" si="2"/>
        <v>Reorder</v>
      </c>
    </row>
    <row r="23" spans="1:7" ht="15" customHeight="1" x14ac:dyDescent="0.25">
      <c r="A23" s="2" t="s">
        <v>943</v>
      </c>
      <c r="B23" s="2">
        <v>95</v>
      </c>
      <c r="C23" s="2">
        <v>150</v>
      </c>
      <c r="D23" s="2">
        <v>14</v>
      </c>
      <c r="E23" s="2">
        <v>0</v>
      </c>
      <c r="F23" s="2">
        <f t="shared" si="0"/>
        <v>14</v>
      </c>
      <c r="G23" s="2" t="str">
        <f t="shared" si="2"/>
        <v>Available</v>
      </c>
    </row>
    <row r="24" spans="1:7" ht="15" customHeight="1" x14ac:dyDescent="0.25">
      <c r="A24" s="2" t="s">
        <v>1011</v>
      </c>
      <c r="B24" s="2">
        <v>150</v>
      </c>
      <c r="C24" s="2">
        <v>200</v>
      </c>
      <c r="D24" s="2">
        <v>10</v>
      </c>
      <c r="E24" s="2">
        <v>0</v>
      </c>
      <c r="F24" s="2">
        <f t="shared" si="0"/>
        <v>10</v>
      </c>
      <c r="G24" s="2" t="str">
        <f t="shared" si="2"/>
        <v>Available</v>
      </c>
    </row>
    <row r="25" spans="1:7" ht="15" customHeight="1" x14ac:dyDescent="0.25">
      <c r="A25" s="2" t="s">
        <v>942</v>
      </c>
      <c r="B25" s="2">
        <v>95</v>
      </c>
      <c r="C25" s="2">
        <v>150</v>
      </c>
      <c r="D25" s="2">
        <v>7</v>
      </c>
      <c r="E25" s="2">
        <v>1</v>
      </c>
      <c r="F25" s="2">
        <f t="shared" si="0"/>
        <v>6</v>
      </c>
      <c r="G25" s="2" t="str">
        <f t="shared" si="2"/>
        <v>Available</v>
      </c>
    </row>
    <row r="26" spans="1:7" ht="15" customHeight="1" x14ac:dyDescent="0.25">
      <c r="A26" s="2" t="s">
        <v>101</v>
      </c>
      <c r="B26" s="2">
        <v>95</v>
      </c>
      <c r="C26" s="2">
        <v>150</v>
      </c>
      <c r="D26" s="2">
        <v>8</v>
      </c>
      <c r="E26" s="2">
        <v>0</v>
      </c>
      <c r="F26" s="2">
        <f t="shared" si="0"/>
        <v>8</v>
      </c>
      <c r="G26" s="2" t="str">
        <f t="shared" si="2"/>
        <v>Available</v>
      </c>
    </row>
    <row r="27" spans="1:7" ht="15" customHeight="1" x14ac:dyDescent="0.25">
      <c r="A27" s="2" t="s">
        <v>936</v>
      </c>
      <c r="B27" s="2">
        <v>95</v>
      </c>
      <c r="C27" s="2">
        <v>150</v>
      </c>
      <c r="D27" s="2">
        <v>7</v>
      </c>
      <c r="E27" s="2">
        <v>6</v>
      </c>
      <c r="F27" s="2">
        <f t="shared" si="0"/>
        <v>1</v>
      </c>
      <c r="G27" s="2" t="str">
        <f t="shared" si="2"/>
        <v>Reorder</v>
      </c>
    </row>
    <row r="28" spans="1:7" ht="15" customHeight="1" x14ac:dyDescent="0.25">
      <c r="A28" s="2" t="s">
        <v>960</v>
      </c>
      <c r="B28" s="2">
        <v>150</v>
      </c>
      <c r="C28" s="2">
        <v>200</v>
      </c>
      <c r="D28" s="2">
        <v>10</v>
      </c>
      <c r="E28" s="2">
        <v>3</v>
      </c>
      <c r="F28" s="2">
        <f t="shared" si="0"/>
        <v>7</v>
      </c>
      <c r="G28" s="2" t="str">
        <f t="shared" si="2"/>
        <v>Available</v>
      </c>
    </row>
    <row r="29" spans="1:7" ht="15" customHeight="1" x14ac:dyDescent="0.25">
      <c r="A29" s="2" t="s">
        <v>930</v>
      </c>
      <c r="B29" s="2">
        <v>155</v>
      </c>
      <c r="C29" s="2">
        <v>205</v>
      </c>
      <c r="D29" s="2">
        <v>7</v>
      </c>
      <c r="E29" s="2">
        <v>4</v>
      </c>
      <c r="F29" s="2">
        <f t="shared" si="0"/>
        <v>3</v>
      </c>
      <c r="G29" s="2" t="str">
        <f t="shared" si="2"/>
        <v>Reorder</v>
      </c>
    </row>
    <row r="30" spans="1:7" ht="15" customHeight="1" x14ac:dyDescent="0.25">
      <c r="A30" s="2" t="s">
        <v>98</v>
      </c>
      <c r="B30" s="2">
        <v>100</v>
      </c>
      <c r="C30" s="2">
        <v>180</v>
      </c>
      <c r="D30" s="2">
        <v>9</v>
      </c>
      <c r="E30" s="2">
        <v>6</v>
      </c>
      <c r="F30" s="2">
        <f t="shared" si="0"/>
        <v>3</v>
      </c>
      <c r="G30" s="2" t="str">
        <f t="shared" si="2"/>
        <v>Reorder</v>
      </c>
    </row>
    <row r="31" spans="1:7" ht="15" customHeight="1" x14ac:dyDescent="0.25">
      <c r="A31" s="2" t="s">
        <v>99</v>
      </c>
      <c r="B31" s="2">
        <v>110</v>
      </c>
      <c r="C31" s="2">
        <v>160</v>
      </c>
      <c r="D31" s="2">
        <v>2</v>
      </c>
      <c r="E31" s="2">
        <v>0</v>
      </c>
      <c r="F31" s="2">
        <f t="shared" si="0"/>
        <v>2</v>
      </c>
      <c r="G31" s="2" t="str">
        <f t="shared" si="2"/>
        <v>Reorder</v>
      </c>
    </row>
    <row r="32" spans="1:7" ht="15" customHeight="1" x14ac:dyDescent="0.25">
      <c r="A32" s="2" t="s">
        <v>100</v>
      </c>
      <c r="B32" s="2">
        <v>150</v>
      </c>
      <c r="C32" s="2">
        <v>200</v>
      </c>
      <c r="D32" s="2">
        <v>0</v>
      </c>
      <c r="E32" s="2">
        <v>0</v>
      </c>
      <c r="F32" s="2">
        <f t="shared" si="0"/>
        <v>0</v>
      </c>
      <c r="G32" s="2" t="str">
        <f t="shared" si="2"/>
        <v>Reorder</v>
      </c>
    </row>
    <row r="33" spans="1:7" ht="15" customHeight="1" x14ac:dyDescent="0.25">
      <c r="A33" s="2" t="s">
        <v>807</v>
      </c>
      <c r="B33" s="2">
        <v>100</v>
      </c>
      <c r="C33" s="2">
        <v>150</v>
      </c>
      <c r="D33" s="2">
        <v>8</v>
      </c>
      <c r="E33" s="2">
        <v>8</v>
      </c>
      <c r="F33" s="2">
        <f t="shared" si="0"/>
        <v>0</v>
      </c>
      <c r="G33" s="2" t="str">
        <f t="shared" si="2"/>
        <v>Reorder</v>
      </c>
    </row>
    <row r="34" spans="1:7" ht="15" customHeight="1" x14ac:dyDescent="0.25">
      <c r="A34" s="2" t="s">
        <v>806</v>
      </c>
      <c r="B34" s="2">
        <v>150</v>
      </c>
      <c r="C34" s="2">
        <v>200</v>
      </c>
      <c r="D34" s="2">
        <v>9</v>
      </c>
      <c r="E34" s="2">
        <v>1</v>
      </c>
      <c r="F34" s="2">
        <f t="shared" si="0"/>
        <v>8</v>
      </c>
      <c r="G34" s="2" t="str">
        <f t="shared" si="2"/>
        <v>Available</v>
      </c>
    </row>
    <row r="35" spans="1:7" x14ac:dyDescent="0.25">
      <c r="A35" s="2" t="s">
        <v>102</v>
      </c>
      <c r="B35" s="2">
        <v>175</v>
      </c>
      <c r="C35" s="2">
        <v>235</v>
      </c>
      <c r="F35" s="2">
        <f t="shared" si="0"/>
        <v>0</v>
      </c>
      <c r="G35" s="2" t="str">
        <f t="shared" si="2"/>
        <v>Reorder</v>
      </c>
    </row>
    <row r="36" spans="1:7" x14ac:dyDescent="0.25">
      <c r="A36" s="2" t="s">
        <v>607</v>
      </c>
      <c r="B36" s="2">
        <v>120</v>
      </c>
      <c r="C36" s="2">
        <v>150</v>
      </c>
      <c r="D36" s="2">
        <v>15</v>
      </c>
      <c r="E36" s="2">
        <v>0</v>
      </c>
      <c r="F36" s="2">
        <f t="shared" si="0"/>
        <v>15</v>
      </c>
      <c r="G36" s="2" t="str">
        <f t="shared" si="2"/>
        <v>Available</v>
      </c>
    </row>
    <row r="37" spans="1:7" x14ac:dyDescent="0.25">
      <c r="A37" s="2" t="s">
        <v>804</v>
      </c>
      <c r="B37" s="2">
        <v>150</v>
      </c>
      <c r="C37" s="2">
        <v>200</v>
      </c>
      <c r="D37" s="2">
        <v>10</v>
      </c>
      <c r="E37" s="2">
        <v>2</v>
      </c>
      <c r="F37" s="2">
        <f t="shared" si="0"/>
        <v>8</v>
      </c>
      <c r="G37" s="2" t="str">
        <f t="shared" si="2"/>
        <v>Available</v>
      </c>
    </row>
    <row r="38" spans="1:7" x14ac:dyDescent="0.25">
      <c r="A38" s="2" t="s">
        <v>808</v>
      </c>
      <c r="B38" s="2">
        <v>150</v>
      </c>
      <c r="C38" s="2">
        <v>200</v>
      </c>
      <c r="D38" s="2">
        <v>9</v>
      </c>
      <c r="E38" s="2">
        <v>1</v>
      </c>
      <c r="F38" s="2">
        <f t="shared" si="0"/>
        <v>8</v>
      </c>
      <c r="G38" s="2" t="str">
        <f t="shared" si="2"/>
        <v>Available</v>
      </c>
    </row>
    <row r="39" spans="1:7" x14ac:dyDescent="0.25">
      <c r="A39" s="2" t="s">
        <v>871</v>
      </c>
      <c r="B39" s="2">
        <v>120</v>
      </c>
      <c r="C39" s="2">
        <v>200</v>
      </c>
      <c r="D39" s="2">
        <v>20</v>
      </c>
      <c r="E39" s="2">
        <v>0</v>
      </c>
      <c r="F39" s="2">
        <f t="shared" si="0"/>
        <v>20</v>
      </c>
      <c r="G39" s="2" t="str">
        <f t="shared" si="2"/>
        <v>Available</v>
      </c>
    </row>
    <row r="40" spans="1:7" x14ac:dyDescent="0.25">
      <c r="A40" s="2" t="s">
        <v>1029</v>
      </c>
      <c r="B40" s="2">
        <v>200</v>
      </c>
      <c r="C40" s="2">
        <v>250</v>
      </c>
      <c r="D40" s="2">
        <v>5</v>
      </c>
      <c r="E40" s="2">
        <v>0</v>
      </c>
      <c r="F40" s="2">
        <f t="shared" si="0"/>
        <v>5</v>
      </c>
      <c r="G40" s="2" t="str">
        <f t="shared" si="2"/>
        <v>Reorder</v>
      </c>
    </row>
    <row r="41" spans="1:7" x14ac:dyDescent="0.25">
      <c r="A41" s="2" t="s">
        <v>1030</v>
      </c>
      <c r="B41" s="2">
        <v>250</v>
      </c>
      <c r="C41" s="2">
        <v>300</v>
      </c>
      <c r="D41" s="2">
        <v>3</v>
      </c>
      <c r="E41" s="2">
        <v>0</v>
      </c>
      <c r="F41" s="2">
        <f t="shared" si="0"/>
        <v>3</v>
      </c>
      <c r="G41" s="2" t="str">
        <f t="shared" si="2"/>
        <v>Reorder</v>
      </c>
    </row>
  </sheetData>
  <mergeCells count="1">
    <mergeCell ref="A1:E1"/>
  </mergeCells>
  <conditionalFormatting sqref="A21:E32 A1:E18">
    <cfRule type="expression" dxfId="579" priority="3">
      <formula>ROW()=CELL(ROW)</formula>
    </cfRule>
  </conditionalFormatting>
  <conditionalFormatting sqref="G21:G1048576 G1:G18">
    <cfRule type="containsText" dxfId="578" priority="2" operator="containsText" text="Reorder">
      <formula>NOT(ISERROR(SEARCH("Reorder",G1)))</formula>
    </cfRule>
  </conditionalFormatting>
  <conditionalFormatting sqref="G19:G20">
    <cfRule type="containsText" dxfId="577" priority="1" operator="containsText" text="Reorder">
      <formula>NOT(ISERROR(SEARCH("Reorder",G19)))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G27"/>
  <sheetViews>
    <sheetView workbookViewId="0"/>
  </sheetViews>
  <sheetFormatPr defaultRowHeight="15" x14ac:dyDescent="0.25"/>
  <cols>
    <col min="1" max="1" width="26.140625" style="2" customWidth="1"/>
    <col min="2" max="2" width="18.85546875" style="3" customWidth="1"/>
    <col min="3" max="3" width="18.5703125" style="3" customWidth="1"/>
    <col min="4" max="4" width="17.5703125" style="2" customWidth="1"/>
    <col min="5" max="5" width="13.42578125" style="2" customWidth="1"/>
    <col min="6" max="6" width="19" style="2" customWidth="1"/>
    <col min="7" max="7" width="12.5703125" style="2" customWidth="1"/>
    <col min="8" max="16384" width="9.140625" style="3"/>
  </cols>
  <sheetData>
    <row r="2" spans="1:7" ht="44.25" customHeight="1" x14ac:dyDescent="0.5">
      <c r="A2" s="73" t="s">
        <v>112</v>
      </c>
      <c r="B2" s="62"/>
      <c r="C2" s="62"/>
      <c r="D2" s="62"/>
      <c r="E2" s="62"/>
    </row>
    <row r="3" spans="1:7" s="6" customFormat="1" ht="61.5" customHeight="1" x14ac:dyDescent="0.25">
      <c r="A3" s="4" t="s">
        <v>65</v>
      </c>
      <c r="B3" s="5" t="s">
        <v>60</v>
      </c>
      <c r="C3" s="5" t="s">
        <v>62</v>
      </c>
      <c r="D3" s="5" t="s">
        <v>634</v>
      </c>
      <c r="E3" s="5" t="s">
        <v>635</v>
      </c>
      <c r="F3" s="5" t="s">
        <v>641</v>
      </c>
      <c r="G3" s="5" t="s">
        <v>638</v>
      </c>
    </row>
    <row r="4" spans="1:7" ht="15" customHeight="1" x14ac:dyDescent="0.25">
      <c r="A4" s="2" t="s">
        <v>108</v>
      </c>
      <c r="B4" s="2">
        <v>330</v>
      </c>
      <c r="C4" s="2">
        <v>400</v>
      </c>
      <c r="D4" s="2">
        <v>2</v>
      </c>
      <c r="E4" s="2">
        <v>0</v>
      </c>
      <c r="F4" s="2">
        <f>D4-E4</f>
        <v>2</v>
      </c>
      <c r="G4" s="2" t="str">
        <f>IF(F4&lt;=0,"Reorder","Available")</f>
        <v>Available</v>
      </c>
    </row>
    <row r="5" spans="1:7" ht="15" customHeight="1" x14ac:dyDescent="0.25">
      <c r="A5" s="7" t="s">
        <v>5</v>
      </c>
      <c r="B5" s="2">
        <v>400</v>
      </c>
      <c r="C5" s="2">
        <v>500</v>
      </c>
      <c r="D5" s="2">
        <v>7</v>
      </c>
      <c r="E5" s="2">
        <v>0</v>
      </c>
      <c r="F5" s="2">
        <f t="shared" ref="F5:F9" si="0">D5-E5</f>
        <v>7</v>
      </c>
      <c r="G5" s="2" t="str">
        <f t="shared" ref="G5:G9" si="1">IF(F5&lt;=0,"Reorder","Available")</f>
        <v>Available</v>
      </c>
    </row>
    <row r="6" spans="1:7" ht="15" customHeight="1" x14ac:dyDescent="0.25">
      <c r="A6" s="7" t="s">
        <v>109</v>
      </c>
      <c r="B6" s="2">
        <v>320</v>
      </c>
      <c r="C6" s="2">
        <v>375</v>
      </c>
      <c r="D6" s="2">
        <v>2</v>
      </c>
      <c r="E6" s="2">
        <v>0</v>
      </c>
      <c r="F6" s="2">
        <f t="shared" si="0"/>
        <v>2</v>
      </c>
      <c r="G6" s="2" t="str">
        <f t="shared" si="1"/>
        <v>Available</v>
      </c>
    </row>
    <row r="7" spans="1:7" ht="15" customHeight="1" x14ac:dyDescent="0.25">
      <c r="A7" s="7" t="s">
        <v>110</v>
      </c>
      <c r="B7" s="2">
        <v>320</v>
      </c>
      <c r="C7" s="2">
        <v>375</v>
      </c>
      <c r="D7" s="2">
        <v>0</v>
      </c>
      <c r="E7" s="2">
        <v>0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7" t="s">
        <v>12</v>
      </c>
      <c r="B8" s="2">
        <v>320</v>
      </c>
      <c r="C8" s="2">
        <v>375</v>
      </c>
      <c r="D8" s="2">
        <v>0</v>
      </c>
      <c r="E8" s="2">
        <v>0</v>
      </c>
      <c r="F8" s="2">
        <f t="shared" si="0"/>
        <v>0</v>
      </c>
      <c r="G8" s="2" t="str">
        <f t="shared" si="1"/>
        <v>Reorder</v>
      </c>
    </row>
    <row r="9" spans="1:7" ht="15" customHeight="1" x14ac:dyDescent="0.25">
      <c r="A9" s="7" t="s">
        <v>111</v>
      </c>
      <c r="B9" s="2">
        <v>320</v>
      </c>
      <c r="C9" s="2">
        <v>375</v>
      </c>
      <c r="D9" s="2">
        <v>1</v>
      </c>
      <c r="E9" s="2">
        <v>0</v>
      </c>
      <c r="F9" s="2">
        <f t="shared" si="0"/>
        <v>1</v>
      </c>
      <c r="G9" s="2" t="str">
        <f t="shared" si="1"/>
        <v>Available</v>
      </c>
    </row>
    <row r="10" spans="1:7" x14ac:dyDescent="0.25">
      <c r="B10" s="2"/>
    </row>
    <row r="11" spans="1:7" ht="44.25" customHeight="1" x14ac:dyDescent="0.5">
      <c r="A11" s="73" t="s">
        <v>113</v>
      </c>
      <c r="B11" s="62"/>
      <c r="C11" s="62"/>
      <c r="D11" s="62"/>
      <c r="E11" s="62"/>
    </row>
    <row r="12" spans="1:7" s="6" customFormat="1" ht="61.5" customHeight="1" x14ac:dyDescent="0.25">
      <c r="A12" s="4" t="s">
        <v>65</v>
      </c>
      <c r="B12" s="5" t="s">
        <v>60</v>
      </c>
      <c r="C12" s="5" t="s">
        <v>62</v>
      </c>
      <c r="D12" s="5" t="s">
        <v>634</v>
      </c>
      <c r="E12" s="5" t="s">
        <v>635</v>
      </c>
      <c r="F12" s="5" t="s">
        <v>641</v>
      </c>
      <c r="G12" s="5" t="s">
        <v>638</v>
      </c>
    </row>
    <row r="13" spans="1:7" x14ac:dyDescent="0.25">
      <c r="A13" s="2" t="s">
        <v>114</v>
      </c>
      <c r="B13" s="2">
        <v>120</v>
      </c>
      <c r="C13" s="2">
        <v>160</v>
      </c>
      <c r="D13" s="2">
        <v>10</v>
      </c>
      <c r="E13" s="2">
        <v>2</v>
      </c>
      <c r="F13" s="2">
        <f>D13-E13</f>
        <v>8</v>
      </c>
      <c r="G13" s="2" t="str">
        <f>IF(F13&lt;=2,"Reorder","Available")</f>
        <v>Available</v>
      </c>
    </row>
    <row r="14" spans="1:7" x14ac:dyDescent="0.25">
      <c r="A14" s="2" t="s">
        <v>115</v>
      </c>
      <c r="B14" s="2">
        <v>120</v>
      </c>
      <c r="C14" s="2">
        <v>150</v>
      </c>
      <c r="D14" s="2">
        <v>11</v>
      </c>
      <c r="E14" s="2">
        <v>1</v>
      </c>
      <c r="F14" s="2">
        <f t="shared" ref="F14:F19" si="2">D14-E14</f>
        <v>10</v>
      </c>
      <c r="G14" s="2" t="str">
        <f t="shared" ref="G14:G19" si="3">IF(F14&lt;=2,"Reorder","Available")</f>
        <v>Available</v>
      </c>
    </row>
    <row r="15" spans="1:7" x14ac:dyDescent="0.25">
      <c r="A15" s="2" t="s">
        <v>116</v>
      </c>
      <c r="B15" s="2">
        <v>120</v>
      </c>
      <c r="C15" s="2">
        <v>150</v>
      </c>
      <c r="D15" s="2">
        <v>7</v>
      </c>
      <c r="E15" s="2">
        <v>3</v>
      </c>
      <c r="F15" s="2">
        <f t="shared" si="2"/>
        <v>4</v>
      </c>
      <c r="G15" s="2" t="str">
        <f t="shared" si="3"/>
        <v>Available</v>
      </c>
    </row>
    <row r="16" spans="1:7" x14ac:dyDescent="0.25">
      <c r="A16" s="2" t="s">
        <v>17</v>
      </c>
      <c r="B16" s="2">
        <v>120</v>
      </c>
      <c r="C16" s="2">
        <v>160</v>
      </c>
      <c r="D16" s="2">
        <v>9</v>
      </c>
      <c r="E16" s="2">
        <v>1</v>
      </c>
      <c r="F16" s="2">
        <f t="shared" si="2"/>
        <v>8</v>
      </c>
      <c r="G16" s="2" t="str">
        <f t="shared" si="3"/>
        <v>Available</v>
      </c>
    </row>
    <row r="17" spans="1:7" x14ac:dyDescent="0.25">
      <c r="A17" s="2" t="s">
        <v>109</v>
      </c>
      <c r="B17" s="2">
        <v>150</v>
      </c>
      <c r="C17" s="2">
        <v>200</v>
      </c>
      <c r="D17" s="2">
        <v>10</v>
      </c>
      <c r="E17" s="2">
        <v>3</v>
      </c>
      <c r="F17" s="2">
        <f t="shared" si="2"/>
        <v>7</v>
      </c>
      <c r="G17" s="2" t="str">
        <f t="shared" si="3"/>
        <v>Available</v>
      </c>
    </row>
    <row r="18" spans="1:7" x14ac:dyDescent="0.25">
      <c r="A18" s="2" t="s">
        <v>117</v>
      </c>
      <c r="B18" s="2">
        <v>150</v>
      </c>
      <c r="C18" s="2">
        <v>200</v>
      </c>
      <c r="D18" s="2">
        <v>8</v>
      </c>
      <c r="E18" s="2">
        <v>2</v>
      </c>
      <c r="F18" s="2">
        <f t="shared" si="2"/>
        <v>6</v>
      </c>
      <c r="G18" s="2" t="str">
        <f t="shared" si="3"/>
        <v>Available</v>
      </c>
    </row>
    <row r="19" spans="1:7" x14ac:dyDescent="0.25">
      <c r="A19" s="2" t="s">
        <v>118</v>
      </c>
      <c r="B19" s="2">
        <v>150</v>
      </c>
      <c r="C19" s="2">
        <v>200</v>
      </c>
      <c r="D19" s="2">
        <v>4</v>
      </c>
      <c r="E19" s="2">
        <v>3</v>
      </c>
      <c r="F19" s="2">
        <f t="shared" si="2"/>
        <v>1</v>
      </c>
      <c r="G19" s="2" t="str">
        <f t="shared" si="3"/>
        <v>Reorder</v>
      </c>
    </row>
    <row r="20" spans="1:7" x14ac:dyDescent="0.25">
      <c r="B20" s="2"/>
      <c r="C20" s="2"/>
    </row>
    <row r="21" spans="1:7" x14ac:dyDescent="0.25">
      <c r="B21" s="2"/>
      <c r="C21" s="2"/>
    </row>
    <row r="22" spans="1:7" x14ac:dyDescent="0.25">
      <c r="B22" s="2"/>
      <c r="C22" s="2"/>
    </row>
    <row r="23" spans="1:7" x14ac:dyDescent="0.25">
      <c r="C23" s="2"/>
    </row>
    <row r="24" spans="1:7" x14ac:dyDescent="0.25">
      <c r="C24" s="2"/>
    </row>
    <row r="25" spans="1:7" x14ac:dyDescent="0.25">
      <c r="C25" s="2"/>
    </row>
    <row r="26" spans="1:7" x14ac:dyDescent="0.25">
      <c r="C26" s="2"/>
    </row>
    <row r="27" spans="1:7" x14ac:dyDescent="0.25">
      <c r="C27" s="2"/>
    </row>
  </sheetData>
  <mergeCells count="2">
    <mergeCell ref="A2:E2"/>
    <mergeCell ref="A11:E11"/>
  </mergeCells>
  <conditionalFormatting sqref="D18:D28 C4:D4 D13:D16 D5:D9 A1:E2 A3:D3 A4:B10 C5:C10 A13:C17 B18:B22 C18:C27">
    <cfRule type="expression" dxfId="576" priority="4">
      <formula>ROW()=CELL(ROW)</formula>
    </cfRule>
  </conditionalFormatting>
  <conditionalFormatting sqref="A11:E11 A12:D12">
    <cfRule type="expression" dxfId="575" priority="3">
      <formula>ROW()=CELL(ROW)</formula>
    </cfRule>
  </conditionalFormatting>
  <conditionalFormatting sqref="G3:G10">
    <cfRule type="containsText" dxfId="574" priority="2" operator="containsText" text="Reorder">
      <formula>NOT(ISERROR(SEARCH("Reorder",G3)))</formula>
    </cfRule>
  </conditionalFormatting>
  <conditionalFormatting sqref="G12:G19">
    <cfRule type="containsText" dxfId="573" priority="1" operator="containsText" text="Reorder">
      <formula>NOT(ISERROR(SEARCH("Reorder",G12)))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4"/>
  <sheetViews>
    <sheetView workbookViewId="0"/>
  </sheetViews>
  <sheetFormatPr defaultRowHeight="26.25" x14ac:dyDescent="0.25"/>
  <cols>
    <col min="1" max="1" width="17.140625" style="9" customWidth="1"/>
    <col min="2" max="2" width="28" style="2" bestFit="1" customWidth="1"/>
    <col min="3" max="3" width="17.42578125" style="2" customWidth="1"/>
    <col min="4" max="4" width="11.28515625" style="2" customWidth="1"/>
    <col min="5" max="5" width="17.7109375" style="2" customWidth="1"/>
    <col min="6" max="6" width="13.140625" style="2" customWidth="1"/>
    <col min="7" max="16384" width="9.140625" style="2"/>
  </cols>
  <sheetData>
    <row r="1" spans="1:6" ht="31.5" customHeight="1" x14ac:dyDescent="0.25">
      <c r="B1" s="38" t="s">
        <v>848</v>
      </c>
      <c r="C1" s="38"/>
      <c r="D1" s="38"/>
      <c r="E1" s="38"/>
      <c r="F1" s="38"/>
    </row>
    <row r="2" spans="1:6" ht="65.25" customHeight="1" x14ac:dyDescent="0.25">
      <c r="A2" s="9" t="s">
        <v>0</v>
      </c>
      <c r="B2" s="4" t="s">
        <v>65</v>
      </c>
      <c r="C2" s="5" t="s">
        <v>634</v>
      </c>
      <c r="D2" s="5" t="s">
        <v>635</v>
      </c>
      <c r="E2" s="5" t="s">
        <v>641</v>
      </c>
      <c r="F2" s="5" t="s">
        <v>638</v>
      </c>
    </row>
    <row r="3" spans="1:6" ht="15" customHeight="1" x14ac:dyDescent="0.25">
      <c r="A3" s="76" t="s">
        <v>790</v>
      </c>
      <c r="B3" s="2" t="s">
        <v>151</v>
      </c>
      <c r="C3" s="2">
        <v>4</v>
      </c>
      <c r="D3" s="2">
        <v>2</v>
      </c>
      <c r="E3" s="2">
        <f>C3-D3</f>
        <v>2</v>
      </c>
      <c r="F3" s="2" t="str">
        <f>IF(E3&lt;=0,"Reorder","Available")</f>
        <v>Available</v>
      </c>
    </row>
    <row r="4" spans="1:6" ht="15" customHeight="1" x14ac:dyDescent="0.25">
      <c r="A4" s="77"/>
      <c r="B4" s="2" t="s">
        <v>781</v>
      </c>
      <c r="C4" s="2">
        <v>2</v>
      </c>
      <c r="D4" s="2">
        <v>0</v>
      </c>
      <c r="E4" s="2">
        <f t="shared" ref="E4:E43" si="0">C4-D4</f>
        <v>2</v>
      </c>
      <c r="F4" s="2" t="str">
        <f t="shared" ref="F4:F43" si="1">IF(E4&lt;=0,"Reorder","Available")</f>
        <v>Available</v>
      </c>
    </row>
    <row r="5" spans="1:6" ht="15" customHeight="1" x14ac:dyDescent="0.25">
      <c r="A5" s="77"/>
      <c r="B5" s="2" t="s">
        <v>5</v>
      </c>
      <c r="C5" s="2">
        <v>2</v>
      </c>
      <c r="D5" s="2">
        <v>2</v>
      </c>
      <c r="E5" s="2">
        <f>C5-D5</f>
        <v>0</v>
      </c>
      <c r="F5" s="2" t="str">
        <f>IF(E5&lt;=0,"Reorder","Available")</f>
        <v>Reorder</v>
      </c>
    </row>
    <row r="6" spans="1:6" ht="15" customHeight="1" x14ac:dyDescent="0.25">
      <c r="A6" s="77"/>
      <c r="B6" s="2" t="s">
        <v>915</v>
      </c>
      <c r="C6" s="2">
        <v>1</v>
      </c>
      <c r="D6" s="2">
        <v>0</v>
      </c>
      <c r="E6" s="2">
        <f t="shared" si="0"/>
        <v>1</v>
      </c>
      <c r="F6" s="2" t="str">
        <f t="shared" si="1"/>
        <v>Available</v>
      </c>
    </row>
    <row r="7" spans="1:6" ht="15" customHeight="1" x14ac:dyDescent="0.25">
      <c r="A7" s="77"/>
      <c r="B7" s="2" t="s">
        <v>774</v>
      </c>
      <c r="C7" s="2">
        <v>1</v>
      </c>
      <c r="D7" s="2">
        <v>0</v>
      </c>
      <c r="E7" s="2">
        <f t="shared" si="0"/>
        <v>1</v>
      </c>
      <c r="F7" s="2" t="str">
        <f t="shared" si="1"/>
        <v>Available</v>
      </c>
    </row>
    <row r="8" spans="1:6" ht="15" customHeight="1" x14ac:dyDescent="0.25">
      <c r="A8" s="77"/>
      <c r="B8" s="2" t="s">
        <v>775</v>
      </c>
      <c r="C8" s="2">
        <v>1</v>
      </c>
      <c r="D8" s="2">
        <v>0</v>
      </c>
      <c r="E8" s="2">
        <f t="shared" si="0"/>
        <v>1</v>
      </c>
      <c r="F8" s="2" t="str">
        <f t="shared" si="1"/>
        <v>Available</v>
      </c>
    </row>
    <row r="9" spans="1:6" ht="15" customHeight="1" x14ac:dyDescent="0.25">
      <c r="A9" s="77"/>
      <c r="B9" s="2" t="s">
        <v>7</v>
      </c>
      <c r="C9" s="2">
        <v>1</v>
      </c>
      <c r="D9" s="2">
        <v>0</v>
      </c>
      <c r="E9" s="2">
        <f t="shared" si="0"/>
        <v>1</v>
      </c>
      <c r="F9" s="2" t="str">
        <f t="shared" si="1"/>
        <v>Available</v>
      </c>
    </row>
    <row r="10" spans="1:6" ht="15" customHeight="1" x14ac:dyDescent="0.25">
      <c r="A10" s="77"/>
      <c r="B10" s="2" t="s">
        <v>776</v>
      </c>
      <c r="C10" s="2">
        <v>1</v>
      </c>
      <c r="D10" s="2">
        <v>0</v>
      </c>
      <c r="E10" s="2">
        <f t="shared" si="0"/>
        <v>1</v>
      </c>
      <c r="F10" s="2" t="str">
        <f t="shared" si="1"/>
        <v>Available</v>
      </c>
    </row>
    <row r="11" spans="1:6" ht="15" customHeight="1" x14ac:dyDescent="0.25">
      <c r="A11" s="77"/>
      <c r="B11" s="2" t="s">
        <v>777</v>
      </c>
      <c r="C11" s="2">
        <v>1</v>
      </c>
      <c r="D11" s="2">
        <v>0</v>
      </c>
      <c r="E11" s="2">
        <f t="shared" si="0"/>
        <v>1</v>
      </c>
      <c r="F11" s="2" t="str">
        <f t="shared" si="1"/>
        <v>Available</v>
      </c>
    </row>
    <row r="12" spans="1:6" ht="15" customHeight="1" x14ac:dyDescent="0.25">
      <c r="A12" s="78"/>
      <c r="B12" s="2" t="s">
        <v>311</v>
      </c>
      <c r="C12" s="2">
        <v>1</v>
      </c>
      <c r="D12" s="2">
        <v>0</v>
      </c>
      <c r="E12" s="2">
        <f t="shared" si="0"/>
        <v>1</v>
      </c>
      <c r="F12" s="2" t="str">
        <f t="shared" si="1"/>
        <v>Available</v>
      </c>
    </row>
    <row r="13" spans="1:6" ht="15" customHeight="1" x14ac:dyDescent="0.25">
      <c r="A13" s="47"/>
    </row>
    <row r="14" spans="1:6" ht="15" customHeight="1" x14ac:dyDescent="0.25">
      <c r="A14" s="58" t="s">
        <v>55</v>
      </c>
      <c r="B14" s="2" t="s">
        <v>17</v>
      </c>
      <c r="C14" s="2">
        <v>1</v>
      </c>
      <c r="D14" s="2">
        <v>1</v>
      </c>
      <c r="E14" s="2">
        <f>C14-D14</f>
        <v>0</v>
      </c>
      <c r="F14" s="2" t="str">
        <f t="shared" si="1"/>
        <v>Reorder</v>
      </c>
    </row>
    <row r="15" spans="1:6" ht="15" customHeight="1" x14ac:dyDescent="0.25">
      <c r="A15" s="63"/>
      <c r="B15" s="2" t="s">
        <v>778</v>
      </c>
      <c r="C15" s="2">
        <v>4</v>
      </c>
      <c r="D15" s="2">
        <v>0</v>
      </c>
      <c r="E15" s="2">
        <f t="shared" si="0"/>
        <v>4</v>
      </c>
      <c r="F15" s="2" t="str">
        <f t="shared" si="1"/>
        <v>Available</v>
      </c>
    </row>
    <row r="16" spans="1:6" ht="15" customHeight="1" x14ac:dyDescent="0.25">
      <c r="A16" s="63"/>
      <c r="B16" s="2" t="s">
        <v>207</v>
      </c>
      <c r="C16" s="2">
        <v>1</v>
      </c>
      <c r="D16" s="2">
        <v>0</v>
      </c>
      <c r="E16" s="2">
        <f t="shared" si="0"/>
        <v>1</v>
      </c>
      <c r="F16" s="2" t="str">
        <f t="shared" si="1"/>
        <v>Available</v>
      </c>
    </row>
    <row r="17" spans="1:6" ht="15" customHeight="1" x14ac:dyDescent="0.25">
      <c r="A17" s="63"/>
      <c r="B17" s="2" t="s">
        <v>779</v>
      </c>
      <c r="C17" s="2">
        <v>2</v>
      </c>
      <c r="D17" s="2">
        <v>0</v>
      </c>
      <c r="E17" s="2">
        <f t="shared" si="0"/>
        <v>2</v>
      </c>
      <c r="F17" s="2" t="str">
        <f t="shared" si="1"/>
        <v>Available</v>
      </c>
    </row>
    <row r="18" spans="1:6" ht="15" customHeight="1" x14ac:dyDescent="0.25">
      <c r="A18" s="63"/>
      <c r="B18" s="2" t="s">
        <v>32</v>
      </c>
      <c r="C18" s="2">
        <v>1</v>
      </c>
      <c r="D18" s="2">
        <v>0</v>
      </c>
      <c r="E18" s="2">
        <f t="shared" si="0"/>
        <v>1</v>
      </c>
      <c r="F18" s="2" t="str">
        <f t="shared" si="1"/>
        <v>Available</v>
      </c>
    </row>
    <row r="19" spans="1:6" ht="15" customHeight="1" x14ac:dyDescent="0.25">
      <c r="A19" s="63"/>
      <c r="B19" s="2" t="s">
        <v>787</v>
      </c>
      <c r="C19" s="2">
        <v>1</v>
      </c>
      <c r="D19" s="2">
        <v>0</v>
      </c>
      <c r="E19" s="2">
        <f t="shared" si="0"/>
        <v>1</v>
      </c>
      <c r="F19" s="2" t="str">
        <f t="shared" si="1"/>
        <v>Available</v>
      </c>
    </row>
    <row r="20" spans="1:6" ht="15" customHeight="1" x14ac:dyDescent="0.25">
      <c r="A20" s="63"/>
      <c r="B20" s="2" t="s">
        <v>180</v>
      </c>
      <c r="C20" s="2">
        <v>2</v>
      </c>
      <c r="D20" s="2">
        <v>1</v>
      </c>
      <c r="E20" s="2">
        <f t="shared" si="0"/>
        <v>1</v>
      </c>
      <c r="F20" s="2" t="str">
        <f t="shared" si="1"/>
        <v>Available</v>
      </c>
    </row>
    <row r="21" spans="1:6" ht="15" customHeight="1" x14ac:dyDescent="0.25">
      <c r="A21" s="63"/>
      <c r="B21" s="2" t="s">
        <v>232</v>
      </c>
      <c r="C21" s="2">
        <v>1</v>
      </c>
      <c r="D21" s="2">
        <v>0</v>
      </c>
      <c r="E21" s="2">
        <f t="shared" si="0"/>
        <v>1</v>
      </c>
      <c r="F21" s="2" t="str">
        <f t="shared" si="1"/>
        <v>Available</v>
      </c>
    </row>
    <row r="22" spans="1:6" ht="15" customHeight="1" x14ac:dyDescent="0.25">
      <c r="A22" s="63"/>
      <c r="B22" s="2" t="s">
        <v>780</v>
      </c>
      <c r="C22" s="2">
        <v>2</v>
      </c>
      <c r="D22" s="2">
        <v>1</v>
      </c>
      <c r="E22" s="2">
        <f t="shared" si="0"/>
        <v>1</v>
      </c>
      <c r="F22" s="2" t="str">
        <f t="shared" si="1"/>
        <v>Available</v>
      </c>
    </row>
    <row r="23" spans="1:6" ht="15" customHeight="1" x14ac:dyDescent="0.25">
      <c r="A23" s="59"/>
      <c r="B23" s="2" t="s">
        <v>759</v>
      </c>
      <c r="C23" s="2">
        <v>1</v>
      </c>
      <c r="D23" s="2">
        <v>0</v>
      </c>
      <c r="E23" s="2">
        <f t="shared" si="0"/>
        <v>1</v>
      </c>
      <c r="F23" s="2" t="str">
        <f t="shared" si="1"/>
        <v>Available</v>
      </c>
    </row>
    <row r="24" spans="1:6" ht="15" customHeight="1" x14ac:dyDescent="0.25">
      <c r="A24" s="35"/>
    </row>
    <row r="25" spans="1:6" ht="15" x14ac:dyDescent="0.25">
      <c r="A25" s="74" t="s">
        <v>791</v>
      </c>
      <c r="B25" s="2" t="s">
        <v>194</v>
      </c>
      <c r="C25" s="2">
        <v>4</v>
      </c>
      <c r="D25" s="2">
        <v>2</v>
      </c>
      <c r="E25" s="2">
        <f t="shared" si="0"/>
        <v>2</v>
      </c>
      <c r="F25" s="2" t="str">
        <f t="shared" si="1"/>
        <v>Available</v>
      </c>
    </row>
    <row r="26" spans="1:6" ht="15" x14ac:dyDescent="0.25">
      <c r="A26" s="75"/>
      <c r="B26" s="2" t="s">
        <v>782</v>
      </c>
      <c r="C26" s="2">
        <v>1</v>
      </c>
      <c r="D26" s="2">
        <v>0</v>
      </c>
      <c r="E26" s="2">
        <f t="shared" si="0"/>
        <v>1</v>
      </c>
      <c r="F26" s="2" t="str">
        <f t="shared" si="1"/>
        <v>Available</v>
      </c>
    </row>
    <row r="27" spans="1:6" ht="15" x14ac:dyDescent="0.25">
      <c r="A27" s="75"/>
      <c r="B27" s="2" t="s">
        <v>12</v>
      </c>
      <c r="C27" s="2">
        <v>2</v>
      </c>
      <c r="D27" s="2">
        <v>1</v>
      </c>
      <c r="E27" s="2">
        <f t="shared" si="0"/>
        <v>1</v>
      </c>
      <c r="F27" s="2" t="str">
        <f t="shared" si="1"/>
        <v>Available</v>
      </c>
    </row>
    <row r="28" spans="1:6" ht="15" x14ac:dyDescent="0.25">
      <c r="A28" s="75"/>
      <c r="B28" s="2" t="s">
        <v>13</v>
      </c>
      <c r="C28" s="2">
        <v>1</v>
      </c>
      <c r="D28" s="2">
        <v>0</v>
      </c>
      <c r="E28" s="2">
        <f t="shared" si="0"/>
        <v>1</v>
      </c>
      <c r="F28" s="2" t="str">
        <f t="shared" si="1"/>
        <v>Available</v>
      </c>
    </row>
    <row r="29" spans="1:6" ht="15" x14ac:dyDescent="0.25">
      <c r="A29" s="75"/>
      <c r="B29" s="2" t="s">
        <v>785</v>
      </c>
      <c r="C29" s="2">
        <v>1</v>
      </c>
      <c r="D29" s="2">
        <v>0</v>
      </c>
      <c r="E29" s="2">
        <f t="shared" si="0"/>
        <v>1</v>
      </c>
      <c r="F29" s="2" t="str">
        <f t="shared" si="1"/>
        <v>Available</v>
      </c>
    </row>
    <row r="30" spans="1:6" ht="15" x14ac:dyDescent="0.25">
      <c r="A30" s="36"/>
    </row>
    <row r="31" spans="1:6" ht="16.5" customHeight="1" x14ac:dyDescent="0.25">
      <c r="A31" s="58" t="s">
        <v>792</v>
      </c>
      <c r="B31" s="2" t="s">
        <v>115</v>
      </c>
      <c r="C31" s="2">
        <v>2</v>
      </c>
      <c r="D31" s="2">
        <v>0</v>
      </c>
      <c r="E31" s="2">
        <f t="shared" si="0"/>
        <v>2</v>
      </c>
      <c r="F31" s="2" t="str">
        <f t="shared" si="1"/>
        <v>Available</v>
      </c>
    </row>
    <row r="32" spans="1:6" ht="15" customHeight="1" x14ac:dyDescent="0.25">
      <c r="A32" s="63"/>
      <c r="B32" s="2" t="s">
        <v>783</v>
      </c>
      <c r="C32" s="2">
        <v>2</v>
      </c>
      <c r="D32" s="2">
        <v>1</v>
      </c>
      <c r="E32" s="2">
        <f t="shared" si="0"/>
        <v>1</v>
      </c>
      <c r="F32" s="2" t="str">
        <f t="shared" si="1"/>
        <v>Available</v>
      </c>
    </row>
    <row r="33" spans="1:6" ht="15" x14ac:dyDescent="0.25">
      <c r="A33" s="63"/>
      <c r="B33" s="2" t="s">
        <v>784</v>
      </c>
      <c r="C33" s="2">
        <v>1</v>
      </c>
      <c r="D33" s="2">
        <v>1</v>
      </c>
      <c r="E33" s="2">
        <f t="shared" si="0"/>
        <v>0</v>
      </c>
      <c r="F33" s="2" t="str">
        <f t="shared" si="1"/>
        <v>Reorder</v>
      </c>
    </row>
    <row r="34" spans="1:6" ht="15" x14ac:dyDescent="0.25">
      <c r="A34" s="59"/>
      <c r="B34" s="2" t="s">
        <v>13</v>
      </c>
      <c r="C34" s="2">
        <v>2</v>
      </c>
      <c r="D34" s="2">
        <v>0</v>
      </c>
      <c r="E34" s="2">
        <f t="shared" si="0"/>
        <v>2</v>
      </c>
      <c r="F34" s="2" t="str">
        <f t="shared" si="1"/>
        <v>Available</v>
      </c>
    </row>
    <row r="35" spans="1:6" ht="15" customHeight="1" x14ac:dyDescent="0.25">
      <c r="A35" s="35"/>
    </row>
    <row r="36" spans="1:6" ht="15" x14ac:dyDescent="0.25">
      <c r="A36" s="76" t="s">
        <v>22</v>
      </c>
      <c r="B36" s="2" t="s">
        <v>51</v>
      </c>
      <c r="C36" s="2">
        <v>1</v>
      </c>
      <c r="D36" s="2">
        <v>0</v>
      </c>
      <c r="E36" s="2">
        <f t="shared" si="0"/>
        <v>1</v>
      </c>
      <c r="F36" s="2" t="str">
        <f t="shared" si="1"/>
        <v>Available</v>
      </c>
    </row>
    <row r="37" spans="1:6" ht="15" x14ac:dyDescent="0.25">
      <c r="A37" s="77"/>
      <c r="B37" s="2" t="s">
        <v>786</v>
      </c>
      <c r="C37" s="2">
        <v>1</v>
      </c>
      <c r="D37" s="2">
        <v>0</v>
      </c>
      <c r="E37" s="2">
        <f t="shared" si="0"/>
        <v>1</v>
      </c>
      <c r="F37" s="2" t="str">
        <f t="shared" si="1"/>
        <v>Available</v>
      </c>
    </row>
    <row r="38" spans="1:6" ht="15" x14ac:dyDescent="0.25">
      <c r="A38" s="77"/>
      <c r="B38" s="2" t="s">
        <v>879</v>
      </c>
      <c r="C38" s="2">
        <v>1</v>
      </c>
      <c r="D38" s="2">
        <v>0</v>
      </c>
      <c r="E38" s="2">
        <f t="shared" si="0"/>
        <v>1</v>
      </c>
      <c r="F38" s="2" t="str">
        <f t="shared" si="1"/>
        <v>Available</v>
      </c>
    </row>
    <row r="39" spans="1:6" ht="15" x14ac:dyDescent="0.25">
      <c r="A39" s="78"/>
      <c r="B39" s="2" t="s">
        <v>25</v>
      </c>
      <c r="C39" s="2">
        <v>1</v>
      </c>
      <c r="D39" s="2">
        <v>0</v>
      </c>
      <c r="E39" s="2">
        <f t="shared" si="0"/>
        <v>1</v>
      </c>
      <c r="F39" s="2" t="str">
        <f t="shared" si="1"/>
        <v>Available</v>
      </c>
    </row>
    <row r="40" spans="1:6" x14ac:dyDescent="0.25">
      <c r="A40" s="47"/>
    </row>
    <row r="41" spans="1:6" ht="15" x14ac:dyDescent="0.25">
      <c r="A41" s="2" t="s">
        <v>793</v>
      </c>
      <c r="B41" s="2" t="s">
        <v>39</v>
      </c>
      <c r="C41" s="2">
        <v>1</v>
      </c>
      <c r="D41" s="2">
        <v>0</v>
      </c>
      <c r="E41" s="2">
        <f t="shared" si="0"/>
        <v>1</v>
      </c>
      <c r="F41" s="2" t="str">
        <f t="shared" si="1"/>
        <v>Available</v>
      </c>
    </row>
    <row r="42" spans="1:6" ht="15.75" x14ac:dyDescent="0.25">
      <c r="A42" s="18"/>
      <c r="B42" s="2" t="s">
        <v>788</v>
      </c>
      <c r="C42" s="2">
        <v>1</v>
      </c>
      <c r="D42" s="2">
        <v>0</v>
      </c>
      <c r="E42" s="2">
        <f t="shared" si="0"/>
        <v>1</v>
      </c>
      <c r="F42" s="2" t="str">
        <f t="shared" si="1"/>
        <v>Available</v>
      </c>
    </row>
    <row r="43" spans="1:6" ht="13.5" customHeight="1" x14ac:dyDescent="0.25">
      <c r="A43" s="18"/>
      <c r="B43" s="2" t="s">
        <v>789</v>
      </c>
      <c r="C43" s="2">
        <v>1</v>
      </c>
      <c r="D43" s="2">
        <v>0</v>
      </c>
      <c r="E43" s="2">
        <f t="shared" si="0"/>
        <v>1</v>
      </c>
      <c r="F43" s="2" t="str">
        <f t="shared" si="1"/>
        <v>Available</v>
      </c>
    </row>
    <row r="44" spans="1:6" ht="15" customHeight="1" x14ac:dyDescent="0.25"/>
  </sheetData>
  <mergeCells count="5">
    <mergeCell ref="A25:A29"/>
    <mergeCell ref="A31:A34"/>
    <mergeCell ref="A36:A39"/>
    <mergeCell ref="A3:A12"/>
    <mergeCell ref="A14:A23"/>
  </mergeCells>
  <conditionalFormatting sqref="B1 B2:C2">
    <cfRule type="expression" dxfId="572" priority="4">
      <formula>ROW()=CELL(ROW)</formula>
    </cfRule>
  </conditionalFormatting>
  <conditionalFormatting sqref="F1:F1048576">
    <cfRule type="containsText" dxfId="571" priority="3" operator="containsText" text="Reorder">
      <formula>NOT(ISERROR(SEARCH("Reorder",F1)))</formula>
    </cfRule>
  </conditionalFormatting>
  <conditionalFormatting sqref="A1:A2">
    <cfRule type="expression" dxfId="570" priority="2">
      <formula>ROW()=CELL(ROW)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4"/>
  <sheetViews>
    <sheetView zoomScaleNormal="100" workbookViewId="0">
      <selection activeCell="F3" sqref="F3"/>
    </sheetView>
  </sheetViews>
  <sheetFormatPr defaultRowHeight="15" x14ac:dyDescent="0.25"/>
  <cols>
    <col min="1" max="1" width="22.5703125" style="3" customWidth="1"/>
    <col min="2" max="2" width="60.140625" style="3" customWidth="1"/>
    <col min="3" max="3" width="18.85546875" style="3" customWidth="1"/>
    <col min="4" max="4" width="15.28515625" style="3" customWidth="1"/>
    <col min="5" max="5" width="12.42578125" style="2" customWidth="1"/>
    <col min="6" max="6" width="11.85546875" style="2" customWidth="1"/>
    <col min="7" max="7" width="16.42578125" style="2" customWidth="1"/>
    <col min="8" max="8" width="12.28515625" style="2" customWidth="1"/>
    <col min="9" max="16384" width="9.140625" style="3"/>
  </cols>
  <sheetData>
    <row r="1" spans="1:8" ht="44.25" customHeight="1" x14ac:dyDescent="0.5">
      <c r="A1" s="79" t="s">
        <v>119</v>
      </c>
      <c r="B1" s="80"/>
      <c r="C1" s="80"/>
      <c r="D1" s="80"/>
      <c r="E1" s="80"/>
      <c r="F1" s="80"/>
    </row>
    <row r="2" spans="1:8" s="6" customFormat="1" ht="61.5" customHeight="1" x14ac:dyDescent="0.25">
      <c r="A2" s="4" t="s">
        <v>0</v>
      </c>
      <c r="B2" s="4" t="s">
        <v>3</v>
      </c>
      <c r="C2" s="5" t="s">
        <v>19</v>
      </c>
      <c r="D2" s="5" t="s">
        <v>20</v>
      </c>
      <c r="E2" s="5" t="s">
        <v>634</v>
      </c>
      <c r="F2" s="5" t="s">
        <v>635</v>
      </c>
      <c r="G2" s="5" t="s">
        <v>641</v>
      </c>
      <c r="H2" s="5" t="s">
        <v>638</v>
      </c>
    </row>
    <row r="3" spans="1:8" ht="15" customHeight="1" x14ac:dyDescent="0.25">
      <c r="A3" s="81" t="s">
        <v>125</v>
      </c>
      <c r="B3" s="3" t="s">
        <v>120</v>
      </c>
      <c r="C3" s="2">
        <v>415</v>
      </c>
      <c r="D3" s="2">
        <v>550</v>
      </c>
      <c r="E3" s="2">
        <v>5</v>
      </c>
      <c r="F3" s="2">
        <v>2</v>
      </c>
      <c r="G3" s="2">
        <f>E3-F3</f>
        <v>3</v>
      </c>
      <c r="H3" s="2" t="str">
        <f>IF(G3&lt;=2,"Reorder","Available")</f>
        <v>Available</v>
      </c>
    </row>
    <row r="4" spans="1:8" ht="15" customHeight="1" x14ac:dyDescent="0.25">
      <c r="A4" s="72"/>
      <c r="B4" s="3" t="s">
        <v>121</v>
      </c>
      <c r="C4" s="2">
        <v>490</v>
      </c>
      <c r="D4" s="2">
        <v>600</v>
      </c>
      <c r="E4" s="2">
        <v>10</v>
      </c>
      <c r="F4" s="2">
        <v>3</v>
      </c>
      <c r="G4" s="2">
        <f t="shared" ref="G4:G34" si="0">E4-F4</f>
        <v>7</v>
      </c>
      <c r="H4" s="2" t="str">
        <f t="shared" ref="H4:H34" si="1">IF(G4&lt;=2,"Reorder","Available")</f>
        <v>Available</v>
      </c>
    </row>
    <row r="5" spans="1:8" ht="15" customHeight="1" x14ac:dyDescent="0.25">
      <c r="A5" s="72"/>
      <c r="B5" s="3" t="s">
        <v>5</v>
      </c>
      <c r="C5" s="2">
        <v>495</v>
      </c>
      <c r="D5" s="2">
        <v>600</v>
      </c>
      <c r="E5" s="2">
        <v>5</v>
      </c>
      <c r="F5" s="2">
        <v>5</v>
      </c>
      <c r="G5" s="2">
        <f t="shared" si="0"/>
        <v>0</v>
      </c>
      <c r="H5" s="2" t="str">
        <f t="shared" si="1"/>
        <v>Reorder</v>
      </c>
    </row>
    <row r="6" spans="1:8" ht="15" customHeight="1" x14ac:dyDescent="0.25">
      <c r="A6" s="72"/>
      <c r="B6" s="3" t="s">
        <v>618</v>
      </c>
      <c r="C6" s="2">
        <v>415</v>
      </c>
      <c r="D6" s="2">
        <v>550</v>
      </c>
      <c r="E6" s="2">
        <v>5</v>
      </c>
      <c r="F6" s="2">
        <v>5</v>
      </c>
      <c r="G6" s="2">
        <f t="shared" si="0"/>
        <v>0</v>
      </c>
      <c r="H6" s="2" t="str">
        <f t="shared" si="1"/>
        <v>Reorder</v>
      </c>
    </row>
    <row r="7" spans="1:8" ht="15" customHeight="1" x14ac:dyDescent="0.25">
      <c r="A7" s="72"/>
      <c r="B7" s="3" t="s">
        <v>619</v>
      </c>
      <c r="C7" s="2">
        <v>430</v>
      </c>
      <c r="D7" s="2">
        <v>600</v>
      </c>
      <c r="E7" s="2">
        <v>5</v>
      </c>
      <c r="F7" s="2">
        <v>0</v>
      </c>
      <c r="G7" s="2">
        <f t="shared" si="0"/>
        <v>5</v>
      </c>
      <c r="H7" s="2" t="str">
        <f t="shared" si="1"/>
        <v>Available</v>
      </c>
    </row>
    <row r="8" spans="1:8" ht="15" customHeight="1" x14ac:dyDescent="0.25">
      <c r="A8" s="72"/>
      <c r="B8" s="3" t="s">
        <v>122</v>
      </c>
      <c r="C8" s="2">
        <v>390</v>
      </c>
      <c r="D8" s="2">
        <v>490</v>
      </c>
      <c r="E8" s="2">
        <v>3</v>
      </c>
      <c r="F8" s="2">
        <v>1</v>
      </c>
      <c r="G8" s="2">
        <f t="shared" si="0"/>
        <v>2</v>
      </c>
      <c r="H8" s="2" t="str">
        <f t="shared" si="1"/>
        <v>Reorder</v>
      </c>
    </row>
    <row r="9" spans="1:8" ht="15" customHeight="1" x14ac:dyDescent="0.25">
      <c r="A9" s="72"/>
      <c r="B9" s="3" t="s">
        <v>123</v>
      </c>
      <c r="C9" s="2">
        <v>380</v>
      </c>
      <c r="D9" s="2">
        <v>480</v>
      </c>
      <c r="E9" s="2">
        <v>2</v>
      </c>
      <c r="F9" s="2">
        <v>1</v>
      </c>
      <c r="G9" s="2">
        <f t="shared" si="0"/>
        <v>1</v>
      </c>
      <c r="H9" s="2" t="str">
        <f t="shared" si="1"/>
        <v>Reorder</v>
      </c>
    </row>
    <row r="10" spans="1:8" ht="15" hidden="1" customHeight="1" x14ac:dyDescent="0.25">
      <c r="A10" s="72"/>
      <c r="C10" s="2"/>
      <c r="D10" s="2"/>
      <c r="F10" s="2">
        <v>1</v>
      </c>
      <c r="G10" s="2">
        <f t="shared" si="0"/>
        <v>-1</v>
      </c>
      <c r="H10" s="2" t="str">
        <f t="shared" si="1"/>
        <v>Reorder</v>
      </c>
    </row>
    <row r="11" spans="1:8" ht="15" hidden="1" customHeight="1" x14ac:dyDescent="0.25">
      <c r="A11" s="72"/>
      <c r="C11" s="2"/>
      <c r="D11" s="2"/>
      <c r="F11" s="2">
        <v>1</v>
      </c>
      <c r="G11" s="2">
        <f t="shared" si="0"/>
        <v>-1</v>
      </c>
      <c r="H11" s="2" t="str">
        <f t="shared" si="1"/>
        <v>Reorder</v>
      </c>
    </row>
    <row r="12" spans="1:8" ht="15" hidden="1" customHeight="1" x14ac:dyDescent="0.25">
      <c r="A12" s="72"/>
      <c r="C12" s="2"/>
      <c r="D12" s="2"/>
      <c r="F12" s="2">
        <v>1</v>
      </c>
      <c r="G12" s="2">
        <f t="shared" si="0"/>
        <v>-1</v>
      </c>
      <c r="H12" s="2" t="str">
        <f t="shared" si="1"/>
        <v>Reorder</v>
      </c>
    </row>
    <row r="13" spans="1:8" ht="15" customHeight="1" x14ac:dyDescent="0.25">
      <c r="A13" s="72"/>
      <c r="B13" s="3" t="s">
        <v>124</v>
      </c>
      <c r="C13" s="2">
        <v>500</v>
      </c>
      <c r="D13" s="2">
        <v>650</v>
      </c>
      <c r="E13" s="2">
        <v>5</v>
      </c>
      <c r="F13" s="2">
        <v>3</v>
      </c>
      <c r="G13" s="2">
        <f t="shared" si="0"/>
        <v>2</v>
      </c>
      <c r="H13" s="2" t="str">
        <f t="shared" si="1"/>
        <v>Reorder</v>
      </c>
    </row>
    <row r="14" spans="1:8" ht="15" customHeight="1" x14ac:dyDescent="0.25">
      <c r="A14" s="72"/>
      <c r="B14" s="3" t="s">
        <v>894</v>
      </c>
      <c r="C14" s="2">
        <v>450</v>
      </c>
      <c r="D14" s="2">
        <v>550</v>
      </c>
      <c r="E14" s="2">
        <v>5</v>
      </c>
      <c r="F14" s="2">
        <v>0</v>
      </c>
      <c r="G14" s="2">
        <f t="shared" si="0"/>
        <v>5</v>
      </c>
      <c r="H14" s="2" t="str">
        <f t="shared" si="1"/>
        <v>Available</v>
      </c>
    </row>
    <row r="15" spans="1:8" ht="15" customHeight="1" x14ac:dyDescent="0.25">
      <c r="A15" s="72"/>
      <c r="B15" s="3" t="s">
        <v>39</v>
      </c>
      <c r="C15" s="2">
        <v>415</v>
      </c>
      <c r="D15" s="2">
        <v>550</v>
      </c>
      <c r="E15" s="2">
        <v>3</v>
      </c>
      <c r="F15" s="2">
        <v>3</v>
      </c>
      <c r="G15" s="2">
        <f t="shared" si="0"/>
        <v>0</v>
      </c>
      <c r="H15" s="2" t="str">
        <f t="shared" si="1"/>
        <v>Reorder</v>
      </c>
    </row>
    <row r="16" spans="1:8" ht="15" customHeight="1" x14ac:dyDescent="0.25">
      <c r="A16" s="72"/>
      <c r="B16" s="3" t="s">
        <v>35</v>
      </c>
      <c r="C16" s="2">
        <v>420</v>
      </c>
      <c r="D16" s="2">
        <v>550</v>
      </c>
      <c r="E16" s="2">
        <v>2</v>
      </c>
      <c r="F16" s="2">
        <v>0</v>
      </c>
      <c r="G16" s="2">
        <f t="shared" si="0"/>
        <v>2</v>
      </c>
      <c r="H16" s="2" t="str">
        <f t="shared" si="1"/>
        <v>Reorder</v>
      </c>
    </row>
    <row r="17" spans="1:8" ht="15" customHeight="1" x14ac:dyDescent="0.25">
      <c r="A17" s="82" t="s">
        <v>127</v>
      </c>
      <c r="B17" s="3" t="s">
        <v>39</v>
      </c>
      <c r="C17" s="2">
        <v>415</v>
      </c>
      <c r="D17" s="2">
        <v>550</v>
      </c>
      <c r="E17" s="2">
        <v>1</v>
      </c>
      <c r="F17" s="2">
        <v>0</v>
      </c>
      <c r="G17" s="2">
        <f t="shared" si="0"/>
        <v>1</v>
      </c>
      <c r="H17" s="2" t="str">
        <f t="shared" si="1"/>
        <v>Reorder</v>
      </c>
    </row>
    <row r="18" spans="1:8" ht="15" customHeight="1" x14ac:dyDescent="0.25">
      <c r="A18" s="82"/>
      <c r="B18" s="3" t="s">
        <v>1004</v>
      </c>
      <c r="C18" s="2">
        <v>1410</v>
      </c>
      <c r="D18" s="2">
        <v>1500</v>
      </c>
      <c r="E18" s="2">
        <v>3</v>
      </c>
      <c r="F18" s="2">
        <v>0</v>
      </c>
      <c r="G18" s="2">
        <f t="shared" si="0"/>
        <v>3</v>
      </c>
      <c r="H18" s="2" t="str">
        <f t="shared" si="1"/>
        <v>Available</v>
      </c>
    </row>
    <row r="19" spans="1:8" ht="15" customHeight="1" x14ac:dyDescent="0.25">
      <c r="A19" s="82"/>
      <c r="B19" s="3" t="s">
        <v>17</v>
      </c>
      <c r="C19" s="2">
        <v>900</v>
      </c>
      <c r="D19" s="2">
        <v>1150</v>
      </c>
      <c r="E19" s="2">
        <v>2</v>
      </c>
      <c r="F19" s="2">
        <v>1</v>
      </c>
      <c r="G19" s="2">
        <f t="shared" si="0"/>
        <v>1</v>
      </c>
      <c r="H19" s="2" t="str">
        <f t="shared" si="1"/>
        <v>Reorder</v>
      </c>
    </row>
    <row r="20" spans="1:8" ht="15" customHeight="1" x14ac:dyDescent="0.25">
      <c r="A20" s="83"/>
      <c r="B20" s="3" t="s">
        <v>5</v>
      </c>
      <c r="C20" s="2">
        <v>1410</v>
      </c>
      <c r="D20" s="2">
        <v>1550</v>
      </c>
      <c r="E20" s="2">
        <v>2</v>
      </c>
      <c r="F20" s="2">
        <v>1</v>
      </c>
      <c r="G20" s="2">
        <f t="shared" si="0"/>
        <v>1</v>
      </c>
      <c r="H20" s="2" t="str">
        <f t="shared" si="1"/>
        <v>Reorder</v>
      </c>
    </row>
    <row r="21" spans="1:8" ht="15" customHeight="1" x14ac:dyDescent="0.25">
      <c r="A21" s="83"/>
      <c r="B21" s="3" t="s">
        <v>120</v>
      </c>
      <c r="C21" s="2">
        <v>1050</v>
      </c>
      <c r="D21" s="2">
        <v>1200</v>
      </c>
      <c r="E21" s="2">
        <v>2</v>
      </c>
      <c r="F21" s="2">
        <v>1</v>
      </c>
      <c r="G21" s="2">
        <f t="shared" si="0"/>
        <v>1</v>
      </c>
      <c r="H21" s="2" t="str">
        <f t="shared" si="1"/>
        <v>Reorder</v>
      </c>
    </row>
    <row r="22" spans="1:8" ht="15" customHeight="1" x14ac:dyDescent="0.25">
      <c r="A22" s="83"/>
      <c r="B22" s="3" t="s">
        <v>126</v>
      </c>
      <c r="C22" s="2">
        <v>1050</v>
      </c>
      <c r="D22" s="2">
        <v>1200</v>
      </c>
      <c r="E22" s="2">
        <v>2</v>
      </c>
      <c r="F22" s="2">
        <v>0</v>
      </c>
      <c r="G22" s="2">
        <f t="shared" si="0"/>
        <v>2</v>
      </c>
      <c r="H22" s="2" t="str">
        <f t="shared" si="1"/>
        <v>Reorder</v>
      </c>
    </row>
    <row r="23" spans="1:8" ht="15" customHeight="1" x14ac:dyDescent="0.25">
      <c r="A23" s="83"/>
      <c r="B23" s="3" t="s">
        <v>312</v>
      </c>
      <c r="C23" s="2">
        <v>1070</v>
      </c>
      <c r="D23" s="2">
        <v>1200</v>
      </c>
      <c r="E23" s="2">
        <v>2</v>
      </c>
      <c r="F23" s="2">
        <v>0</v>
      </c>
      <c r="G23" s="2">
        <f t="shared" si="0"/>
        <v>2</v>
      </c>
      <c r="H23" s="2" t="str">
        <f t="shared" si="1"/>
        <v>Reorder</v>
      </c>
    </row>
    <row r="24" spans="1:8" ht="15" customHeight="1" x14ac:dyDescent="0.25">
      <c r="A24" s="83"/>
      <c r="B24" s="3" t="s">
        <v>122</v>
      </c>
      <c r="C24" s="2">
        <v>420</v>
      </c>
      <c r="D24" s="2">
        <v>500</v>
      </c>
      <c r="E24" s="2">
        <v>2</v>
      </c>
      <c r="F24" s="2">
        <v>2</v>
      </c>
      <c r="G24" s="2">
        <f t="shared" ref="G24:G27" si="2">E24-F24</f>
        <v>0</v>
      </c>
      <c r="H24" s="2" t="str">
        <f t="shared" ref="H24:H27" si="3">IF(G24&lt;=2,"Reorder","Available")</f>
        <v>Reorder</v>
      </c>
    </row>
    <row r="25" spans="1:8" ht="15" customHeight="1" x14ac:dyDescent="0.25">
      <c r="A25" s="83"/>
      <c r="B25" s="3" t="s">
        <v>13</v>
      </c>
      <c r="C25" s="2">
        <v>950</v>
      </c>
      <c r="D25" s="2">
        <v>1100</v>
      </c>
      <c r="E25" s="2">
        <v>2</v>
      </c>
      <c r="F25" s="2">
        <v>1</v>
      </c>
      <c r="G25" s="2">
        <f t="shared" si="2"/>
        <v>1</v>
      </c>
      <c r="H25" s="2" t="str">
        <f t="shared" si="3"/>
        <v>Reorder</v>
      </c>
    </row>
    <row r="26" spans="1:8" ht="15" customHeight="1" x14ac:dyDescent="0.25">
      <c r="A26" s="83"/>
      <c r="B26" s="3" t="s">
        <v>1078</v>
      </c>
      <c r="C26" s="2">
        <v>900</v>
      </c>
      <c r="D26" s="2">
        <v>1100</v>
      </c>
      <c r="E26" s="2">
        <v>5</v>
      </c>
      <c r="F26" s="2">
        <v>1</v>
      </c>
      <c r="G26" s="2">
        <f t="shared" si="2"/>
        <v>4</v>
      </c>
      <c r="H26" s="2" t="str">
        <f t="shared" si="3"/>
        <v>Available</v>
      </c>
    </row>
    <row r="27" spans="1:8" ht="15" customHeight="1" x14ac:dyDescent="0.25">
      <c r="A27" s="83"/>
      <c r="B27" s="3" t="s">
        <v>111</v>
      </c>
      <c r="C27" s="2">
        <v>450</v>
      </c>
      <c r="D27" s="2">
        <v>700</v>
      </c>
      <c r="E27" s="2">
        <v>3</v>
      </c>
      <c r="F27" s="2">
        <v>3</v>
      </c>
      <c r="G27" s="2">
        <f t="shared" si="2"/>
        <v>0</v>
      </c>
      <c r="H27" s="2" t="str">
        <f t="shared" si="3"/>
        <v>Reorder</v>
      </c>
    </row>
    <row r="28" spans="1:8" ht="15" customHeight="1" x14ac:dyDescent="0.25">
      <c r="A28" s="83"/>
      <c r="B28" s="3" t="s">
        <v>35</v>
      </c>
      <c r="C28" s="2">
        <v>900</v>
      </c>
      <c r="D28" s="2">
        <v>1050</v>
      </c>
      <c r="E28" s="2">
        <v>2</v>
      </c>
      <c r="F28" s="2">
        <v>1</v>
      </c>
      <c r="G28" s="2">
        <f t="shared" si="0"/>
        <v>1</v>
      </c>
      <c r="H28" s="2" t="str">
        <f t="shared" si="1"/>
        <v>Reorder</v>
      </c>
    </row>
    <row r="29" spans="1:8" ht="15" customHeight="1" x14ac:dyDescent="0.25">
      <c r="A29" s="2" t="s">
        <v>128</v>
      </c>
      <c r="B29" s="3" t="s">
        <v>109</v>
      </c>
      <c r="C29" s="2">
        <v>450</v>
      </c>
      <c r="D29" s="2">
        <v>600</v>
      </c>
      <c r="E29" s="2">
        <v>4</v>
      </c>
      <c r="F29" s="2">
        <v>4</v>
      </c>
      <c r="G29" s="2">
        <f t="shared" si="0"/>
        <v>0</v>
      </c>
      <c r="H29" s="2" t="str">
        <f t="shared" si="1"/>
        <v>Reorder</v>
      </c>
    </row>
    <row r="30" spans="1:8" ht="15" customHeight="1" x14ac:dyDescent="0.25">
      <c r="B30" s="3" t="s">
        <v>129</v>
      </c>
      <c r="C30" s="2">
        <v>1550</v>
      </c>
      <c r="D30" s="2">
        <v>2000</v>
      </c>
      <c r="E30" s="2">
        <v>1</v>
      </c>
      <c r="F30" s="2">
        <v>0</v>
      </c>
      <c r="G30" s="2">
        <f t="shared" si="0"/>
        <v>1</v>
      </c>
      <c r="H30" s="2" t="str">
        <f t="shared" si="1"/>
        <v>Reorder</v>
      </c>
    </row>
    <row r="31" spans="1:8" ht="15" customHeight="1" x14ac:dyDescent="0.25">
      <c r="A31" s="84" t="s">
        <v>106</v>
      </c>
      <c r="B31" s="3" t="s">
        <v>896</v>
      </c>
      <c r="C31" s="2">
        <v>450</v>
      </c>
      <c r="D31" s="2">
        <v>550</v>
      </c>
      <c r="E31" s="2">
        <v>3</v>
      </c>
      <c r="F31" s="2">
        <v>1</v>
      </c>
      <c r="G31" s="2">
        <f t="shared" si="0"/>
        <v>2</v>
      </c>
      <c r="H31" s="2" t="str">
        <f t="shared" si="1"/>
        <v>Reorder</v>
      </c>
    </row>
    <row r="32" spans="1:8" ht="15" customHeight="1" x14ac:dyDescent="0.25">
      <c r="A32" s="85"/>
      <c r="B32" s="3" t="s">
        <v>35</v>
      </c>
      <c r="C32" s="2">
        <v>430</v>
      </c>
      <c r="D32" s="2">
        <v>550</v>
      </c>
      <c r="E32" s="2">
        <v>2</v>
      </c>
      <c r="F32" s="2">
        <v>0</v>
      </c>
      <c r="G32" s="2">
        <f t="shared" si="0"/>
        <v>2</v>
      </c>
      <c r="H32" s="2" t="str">
        <f t="shared" si="1"/>
        <v>Reorder</v>
      </c>
    </row>
    <row r="33" spans="1:8" ht="14.25" customHeight="1" x14ac:dyDescent="0.25">
      <c r="A33" s="86"/>
      <c r="B33" s="15" t="s">
        <v>126</v>
      </c>
      <c r="C33" s="7">
        <v>450</v>
      </c>
      <c r="D33" s="7">
        <v>550</v>
      </c>
      <c r="E33" s="2">
        <v>7</v>
      </c>
      <c r="F33" s="2">
        <v>6</v>
      </c>
      <c r="G33" s="2">
        <f t="shared" si="0"/>
        <v>1</v>
      </c>
      <c r="H33" s="2" t="str">
        <f t="shared" si="1"/>
        <v>Reorder</v>
      </c>
    </row>
    <row r="34" spans="1:8" ht="15" customHeight="1" x14ac:dyDescent="0.25">
      <c r="A34" s="15"/>
      <c r="B34" s="15" t="s">
        <v>1079</v>
      </c>
      <c r="C34" s="7">
        <v>480</v>
      </c>
      <c r="D34" s="7">
        <v>600</v>
      </c>
      <c r="E34" s="2">
        <v>4</v>
      </c>
      <c r="F34" s="2">
        <v>0</v>
      </c>
      <c r="G34" s="2">
        <f t="shared" si="0"/>
        <v>4</v>
      </c>
      <c r="H34" s="2" t="str">
        <f t="shared" si="1"/>
        <v>Available</v>
      </c>
    </row>
    <row r="35" spans="1:8" ht="15" customHeight="1" x14ac:dyDescent="0.25">
      <c r="A35" s="15"/>
      <c r="C35" s="15"/>
      <c r="D35" s="15"/>
    </row>
    <row r="36" spans="1:8" ht="15" customHeight="1" x14ac:dyDescent="0.25">
      <c r="C36" s="2"/>
      <c r="D36" s="2"/>
    </row>
    <row r="37" spans="1:8" ht="15" customHeight="1" x14ac:dyDescent="0.25">
      <c r="C37" s="2"/>
      <c r="D37" s="2"/>
    </row>
    <row r="38" spans="1:8" ht="15" customHeight="1" x14ac:dyDescent="0.25">
      <c r="B38" s="2"/>
    </row>
    <row r="39" spans="1:8" ht="15" customHeight="1" x14ac:dyDescent="0.25">
      <c r="B39" s="2"/>
    </row>
    <row r="40" spans="1:8" ht="15" customHeight="1" x14ac:dyDescent="0.25">
      <c r="C40" s="2"/>
      <c r="D40" s="2"/>
    </row>
    <row r="41" spans="1:8" ht="15" customHeight="1" x14ac:dyDescent="0.25">
      <c r="C41" s="2"/>
      <c r="D41" s="2"/>
    </row>
    <row r="42" spans="1:8" x14ac:dyDescent="0.25">
      <c r="C42" s="2"/>
      <c r="D42" s="2"/>
    </row>
    <row r="43" spans="1:8" x14ac:dyDescent="0.25">
      <c r="C43" s="2"/>
      <c r="D43" s="2"/>
    </row>
    <row r="44" spans="1:8" x14ac:dyDescent="0.25">
      <c r="C44" s="2"/>
      <c r="D44" s="2"/>
    </row>
  </sheetData>
  <mergeCells count="4">
    <mergeCell ref="A1:F1"/>
    <mergeCell ref="A3:A16"/>
    <mergeCell ref="A17:A28"/>
    <mergeCell ref="A31:A33"/>
  </mergeCells>
  <conditionalFormatting sqref="B40:B45 E40:F40 C40:D44 B36:D39 B28:D32 E28:F37 B2:F27">
    <cfRule type="expression" dxfId="569" priority="8">
      <formula>ROW()=CELL(ROW)</formula>
    </cfRule>
  </conditionalFormatting>
  <conditionalFormatting sqref="H1:H1048576">
    <cfRule type="containsText" dxfId="568" priority="7" operator="containsText" text="Reorder">
      <formula>NOT(ISERROR(SEARCH("Reorder",H1)))</formula>
    </cfRule>
  </conditionalFormatting>
  <conditionalFormatting sqref="H3:H30">
    <cfRule type="containsText" dxfId="567" priority="5" operator="containsText" text="Reorder">
      <formula>NOT(ISERROR(SEARCH("Reorder",H3)))</formula>
    </cfRule>
    <cfRule type="containsText" dxfId="566" priority="6" operator="containsText" text="Reorder">
      <formula>NOT(ISERROR(SEARCH("Reorder",H3)))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1"/>
  <sheetViews>
    <sheetView workbookViewId="0">
      <selection activeCell="F19" sqref="F19"/>
    </sheetView>
  </sheetViews>
  <sheetFormatPr defaultRowHeight="15" x14ac:dyDescent="0.25"/>
  <cols>
    <col min="1" max="1" width="9.140625" style="3"/>
    <col min="2" max="2" width="45.7109375" style="2" customWidth="1"/>
    <col min="3" max="3" width="18.85546875" style="2" customWidth="1"/>
    <col min="4" max="4" width="18.5703125" style="2" customWidth="1"/>
    <col min="5" max="5" width="13.140625" style="2" customWidth="1"/>
    <col min="6" max="6" width="13.42578125" style="2" customWidth="1"/>
    <col min="7" max="7" width="17" style="2" customWidth="1"/>
    <col min="8" max="8" width="12.42578125" style="2" customWidth="1"/>
    <col min="9" max="16384" width="9.140625" style="3"/>
  </cols>
  <sheetData>
    <row r="1" spans="1:8" x14ac:dyDescent="0.25">
      <c r="A1" s="3" t="s">
        <v>1</v>
      </c>
    </row>
    <row r="2" spans="1:8" ht="44.25" customHeight="1" x14ac:dyDescent="0.5">
      <c r="B2" s="73" t="s">
        <v>131</v>
      </c>
      <c r="C2" s="62"/>
      <c r="D2" s="62"/>
      <c r="E2" s="62"/>
      <c r="F2" s="62"/>
    </row>
    <row r="3" spans="1:8" s="6" customFormat="1" ht="63.75" customHeight="1" x14ac:dyDescent="0.4">
      <c r="A3" s="30"/>
      <c r="B3" s="5" t="s">
        <v>130</v>
      </c>
      <c r="C3" s="5" t="s">
        <v>19</v>
      </c>
      <c r="D3" s="5" t="s">
        <v>80</v>
      </c>
      <c r="E3" s="5" t="s">
        <v>634</v>
      </c>
      <c r="F3" s="5" t="s">
        <v>635</v>
      </c>
      <c r="G3" s="5" t="s">
        <v>639</v>
      </c>
      <c r="H3" s="5" t="s">
        <v>638</v>
      </c>
    </row>
    <row r="4" spans="1:8" ht="15" customHeight="1" x14ac:dyDescent="0.25">
      <c r="B4" s="2" t="s">
        <v>132</v>
      </c>
      <c r="C4" s="2">
        <v>400</v>
      </c>
      <c r="D4" s="2">
        <v>550</v>
      </c>
      <c r="E4" s="2">
        <v>4</v>
      </c>
      <c r="F4" s="2">
        <v>2</v>
      </c>
      <c r="G4" s="2">
        <f>E4-F4</f>
        <v>2</v>
      </c>
      <c r="H4" s="2" t="str">
        <f>IF(G4&lt;=1,"Reorder","Available")</f>
        <v>Available</v>
      </c>
    </row>
    <row r="5" spans="1:8" ht="15" customHeight="1" x14ac:dyDescent="0.25">
      <c r="B5" s="7" t="s">
        <v>133</v>
      </c>
      <c r="C5" s="2">
        <v>330</v>
      </c>
      <c r="D5" s="2">
        <v>500</v>
      </c>
      <c r="E5" s="2">
        <v>5</v>
      </c>
      <c r="F5" s="2">
        <v>3</v>
      </c>
      <c r="G5" s="2">
        <f>E5-F5</f>
        <v>2</v>
      </c>
      <c r="H5" s="2" t="str">
        <f t="shared" ref="H5:H22" si="0">IF(G5&lt;=1,"Reorder","Available")</f>
        <v>Available</v>
      </c>
    </row>
    <row r="6" spans="1:8" ht="15" customHeight="1" x14ac:dyDescent="0.25">
      <c r="B6" s="7" t="s">
        <v>134</v>
      </c>
      <c r="C6" s="2">
        <v>350</v>
      </c>
      <c r="D6" s="2">
        <v>500</v>
      </c>
      <c r="E6" s="2">
        <v>3</v>
      </c>
      <c r="F6" s="2">
        <v>0</v>
      </c>
      <c r="G6" s="2">
        <f t="shared" ref="G6:G21" si="1">E6-F6</f>
        <v>3</v>
      </c>
      <c r="H6" s="2" t="str">
        <f t="shared" si="0"/>
        <v>Available</v>
      </c>
    </row>
    <row r="7" spans="1:8" ht="15" customHeight="1" x14ac:dyDescent="0.25">
      <c r="B7" s="7" t="s">
        <v>135</v>
      </c>
      <c r="C7" s="2">
        <v>550</v>
      </c>
      <c r="D7" s="2">
        <v>680</v>
      </c>
      <c r="E7" s="2">
        <v>3</v>
      </c>
      <c r="F7" s="2">
        <v>3</v>
      </c>
      <c r="G7" s="2">
        <f t="shared" si="1"/>
        <v>0</v>
      </c>
      <c r="H7" s="2" t="str">
        <f t="shared" si="0"/>
        <v>Reorder</v>
      </c>
    </row>
    <row r="8" spans="1:8" ht="15" customHeight="1" x14ac:dyDescent="0.25">
      <c r="B8" s="7" t="s">
        <v>136</v>
      </c>
      <c r="C8" s="2">
        <v>360</v>
      </c>
      <c r="D8" s="2">
        <v>550</v>
      </c>
      <c r="E8" s="2">
        <v>1</v>
      </c>
      <c r="F8" s="2">
        <v>1</v>
      </c>
      <c r="G8" s="2">
        <f t="shared" si="1"/>
        <v>0</v>
      </c>
      <c r="H8" s="2" t="str">
        <f t="shared" si="0"/>
        <v>Reorder</v>
      </c>
    </row>
    <row r="9" spans="1:8" ht="15" customHeight="1" x14ac:dyDescent="0.25">
      <c r="B9" s="7" t="s">
        <v>137</v>
      </c>
      <c r="C9" s="2">
        <v>550</v>
      </c>
      <c r="D9" s="2">
        <v>680</v>
      </c>
      <c r="E9" s="2">
        <v>4</v>
      </c>
      <c r="F9" s="2">
        <v>2</v>
      </c>
      <c r="G9" s="2">
        <f t="shared" si="1"/>
        <v>2</v>
      </c>
      <c r="H9" s="2" t="str">
        <f t="shared" si="0"/>
        <v>Available</v>
      </c>
    </row>
    <row r="10" spans="1:8" ht="15" customHeight="1" x14ac:dyDescent="0.25">
      <c r="B10" s="7" t="s">
        <v>138</v>
      </c>
      <c r="C10" s="2">
        <v>430</v>
      </c>
      <c r="D10" s="2">
        <v>550</v>
      </c>
      <c r="E10" s="2">
        <v>4</v>
      </c>
      <c r="F10" s="2">
        <v>0</v>
      </c>
      <c r="G10" s="2">
        <f t="shared" si="1"/>
        <v>4</v>
      </c>
      <c r="H10" s="2" t="str">
        <f t="shared" si="0"/>
        <v>Available</v>
      </c>
    </row>
    <row r="11" spans="1:8" ht="15" customHeight="1" x14ac:dyDescent="0.25">
      <c r="B11" s="7" t="s">
        <v>139</v>
      </c>
      <c r="C11" s="2">
        <v>330</v>
      </c>
      <c r="D11" s="2">
        <v>550</v>
      </c>
      <c r="E11" s="2">
        <v>3</v>
      </c>
      <c r="F11" s="2">
        <v>2</v>
      </c>
      <c r="G11" s="2">
        <f t="shared" si="1"/>
        <v>1</v>
      </c>
      <c r="H11" s="2" t="str">
        <f t="shared" si="0"/>
        <v>Reorder</v>
      </c>
    </row>
    <row r="12" spans="1:8" ht="15" hidden="1" customHeight="1" x14ac:dyDescent="0.25">
      <c r="B12" s="7" t="s">
        <v>139</v>
      </c>
      <c r="C12" s="2">
        <v>330</v>
      </c>
      <c r="D12" s="2">
        <v>550</v>
      </c>
      <c r="E12" s="2">
        <v>4</v>
      </c>
      <c r="F12" s="2">
        <v>1</v>
      </c>
      <c r="G12" s="2">
        <f t="shared" si="1"/>
        <v>3</v>
      </c>
      <c r="H12" s="2" t="str">
        <f t="shared" si="0"/>
        <v>Available</v>
      </c>
    </row>
    <row r="13" spans="1:8" ht="15" hidden="1" customHeight="1" x14ac:dyDescent="0.25">
      <c r="B13" s="7" t="s">
        <v>139</v>
      </c>
      <c r="C13" s="2">
        <v>330</v>
      </c>
      <c r="D13" s="2">
        <v>550</v>
      </c>
      <c r="E13" s="2">
        <v>4</v>
      </c>
      <c r="F13" s="2">
        <v>1</v>
      </c>
      <c r="G13" s="2">
        <f t="shared" si="1"/>
        <v>3</v>
      </c>
      <c r="H13" s="2" t="str">
        <f t="shared" si="0"/>
        <v>Available</v>
      </c>
    </row>
    <row r="14" spans="1:8" ht="15" hidden="1" customHeight="1" x14ac:dyDescent="0.25">
      <c r="B14" s="7" t="s">
        <v>139</v>
      </c>
      <c r="C14" s="2">
        <v>330</v>
      </c>
      <c r="D14" s="2">
        <v>550</v>
      </c>
      <c r="E14" s="2">
        <v>4</v>
      </c>
      <c r="F14" s="2">
        <v>1</v>
      </c>
      <c r="G14" s="2">
        <f t="shared" si="1"/>
        <v>3</v>
      </c>
      <c r="H14" s="2" t="str">
        <f t="shared" si="0"/>
        <v>Available</v>
      </c>
    </row>
    <row r="15" spans="1:8" ht="15" customHeight="1" x14ac:dyDescent="0.25">
      <c r="B15" s="7" t="s">
        <v>140</v>
      </c>
      <c r="C15" s="2">
        <v>330</v>
      </c>
      <c r="D15" s="2">
        <v>550</v>
      </c>
      <c r="E15" s="2">
        <v>5</v>
      </c>
      <c r="F15" s="2">
        <v>0</v>
      </c>
      <c r="G15" s="2">
        <f t="shared" si="1"/>
        <v>5</v>
      </c>
      <c r="H15" s="2" t="str">
        <f t="shared" si="0"/>
        <v>Available</v>
      </c>
    </row>
    <row r="16" spans="1:8" ht="15" customHeight="1" x14ac:dyDescent="0.25">
      <c r="B16" s="7" t="s">
        <v>141</v>
      </c>
      <c r="C16" s="2">
        <v>300</v>
      </c>
      <c r="D16" s="2">
        <v>400</v>
      </c>
      <c r="E16" s="2">
        <v>8</v>
      </c>
      <c r="F16" s="2">
        <v>2</v>
      </c>
      <c r="G16" s="2">
        <f t="shared" si="1"/>
        <v>6</v>
      </c>
      <c r="H16" s="2" t="str">
        <f t="shared" si="0"/>
        <v>Available</v>
      </c>
    </row>
    <row r="17" spans="2:8" x14ac:dyDescent="0.25">
      <c r="B17" s="7" t="s">
        <v>817</v>
      </c>
      <c r="C17" s="2">
        <v>700</v>
      </c>
      <c r="D17" s="2">
        <v>800</v>
      </c>
      <c r="E17" s="2">
        <v>3</v>
      </c>
      <c r="F17" s="2">
        <v>0</v>
      </c>
      <c r="G17" s="2">
        <f t="shared" si="1"/>
        <v>3</v>
      </c>
      <c r="H17" s="2" t="str">
        <f t="shared" si="0"/>
        <v>Available</v>
      </c>
    </row>
    <row r="18" spans="2:8" x14ac:dyDescent="0.25">
      <c r="B18" s="7" t="s">
        <v>142</v>
      </c>
      <c r="C18" s="2">
        <v>770</v>
      </c>
      <c r="D18" s="2">
        <v>850</v>
      </c>
      <c r="E18" s="2">
        <v>3</v>
      </c>
      <c r="F18" s="2">
        <v>2</v>
      </c>
      <c r="G18" s="2">
        <f t="shared" si="1"/>
        <v>1</v>
      </c>
      <c r="H18" s="2" t="str">
        <f t="shared" si="0"/>
        <v>Reorder</v>
      </c>
    </row>
    <row r="19" spans="2:8" s="10" customFormat="1" ht="15" customHeight="1" x14ac:dyDescent="0.25">
      <c r="B19" s="7" t="s">
        <v>143</v>
      </c>
      <c r="C19" s="7">
        <v>485</v>
      </c>
      <c r="D19" s="2">
        <v>585</v>
      </c>
      <c r="E19" s="2">
        <v>2</v>
      </c>
      <c r="F19" s="2">
        <v>1</v>
      </c>
      <c r="G19" s="2">
        <f t="shared" si="1"/>
        <v>1</v>
      </c>
      <c r="H19" s="2" t="str">
        <f t="shared" si="0"/>
        <v>Reorder</v>
      </c>
    </row>
    <row r="20" spans="2:8" x14ac:dyDescent="0.25">
      <c r="B20" s="2" t="s">
        <v>913</v>
      </c>
      <c r="C20" s="2">
        <v>600</v>
      </c>
      <c r="D20" s="2">
        <v>700</v>
      </c>
      <c r="E20" s="2">
        <v>2</v>
      </c>
      <c r="F20" s="2">
        <v>1</v>
      </c>
      <c r="G20" s="2">
        <f t="shared" si="1"/>
        <v>1</v>
      </c>
      <c r="H20" s="2" t="str">
        <f t="shared" si="0"/>
        <v>Reorder</v>
      </c>
    </row>
    <row r="21" spans="2:8" x14ac:dyDescent="0.25">
      <c r="B21" s="2" t="s">
        <v>145</v>
      </c>
      <c r="C21" s="2">
        <v>600</v>
      </c>
      <c r="D21" s="2">
        <v>685</v>
      </c>
      <c r="E21" s="2">
        <v>2</v>
      </c>
      <c r="F21" s="2">
        <v>0</v>
      </c>
      <c r="G21" s="2">
        <f t="shared" si="1"/>
        <v>2</v>
      </c>
      <c r="H21" s="2" t="str">
        <f t="shared" si="0"/>
        <v>Available</v>
      </c>
    </row>
    <row r="22" spans="2:8" x14ac:dyDescent="0.25">
      <c r="B22" s="2" t="s">
        <v>631</v>
      </c>
      <c r="C22" s="2">
        <v>600</v>
      </c>
      <c r="D22" s="2">
        <v>700</v>
      </c>
      <c r="E22" s="2">
        <v>2</v>
      </c>
      <c r="F22" s="2">
        <v>0</v>
      </c>
      <c r="G22" s="2">
        <f>E22-F22</f>
        <v>2</v>
      </c>
      <c r="H22" s="2" t="str">
        <f t="shared" si="0"/>
        <v>Available</v>
      </c>
    </row>
    <row r="23" spans="2:8" ht="44.25" customHeight="1" x14ac:dyDescent="0.5">
      <c r="B23" s="73" t="s">
        <v>146</v>
      </c>
      <c r="C23" s="62"/>
      <c r="D23" s="62"/>
      <c r="E23" s="62"/>
      <c r="F23" s="62"/>
    </row>
    <row r="24" spans="2:8" s="6" customFormat="1" ht="63.75" customHeight="1" x14ac:dyDescent="0.25">
      <c r="B24" s="4" t="s">
        <v>130</v>
      </c>
      <c r="C24" s="5" t="s">
        <v>19</v>
      </c>
      <c r="D24" s="5" t="s">
        <v>80</v>
      </c>
      <c r="E24" s="5" t="s">
        <v>634</v>
      </c>
      <c r="F24" s="5" t="s">
        <v>635</v>
      </c>
      <c r="G24" s="5" t="s">
        <v>639</v>
      </c>
      <c r="H24" s="5" t="s">
        <v>638</v>
      </c>
    </row>
    <row r="25" spans="2:8" x14ac:dyDescent="0.25">
      <c r="B25" s="2" t="s">
        <v>147</v>
      </c>
      <c r="C25" s="2">
        <v>300</v>
      </c>
      <c r="D25" s="2">
        <v>500</v>
      </c>
      <c r="E25" s="2">
        <v>13</v>
      </c>
      <c r="F25" s="2">
        <v>9</v>
      </c>
      <c r="G25" s="2">
        <f t="shared" ref="G25:G31" si="2">E25-F25</f>
        <v>4</v>
      </c>
      <c r="H25" s="2" t="str">
        <f t="shared" ref="H25:H31" si="3">IF(G25&lt;=1,"Reorder","Available")</f>
        <v>Available</v>
      </c>
    </row>
    <row r="26" spans="2:8" x14ac:dyDescent="0.25">
      <c r="B26" s="2" t="s">
        <v>890</v>
      </c>
      <c r="C26" s="2">
        <v>300</v>
      </c>
      <c r="D26" s="2">
        <v>350</v>
      </c>
      <c r="E26" s="2">
        <v>7</v>
      </c>
      <c r="F26" s="2">
        <v>4</v>
      </c>
      <c r="G26" s="2">
        <f t="shared" si="2"/>
        <v>3</v>
      </c>
      <c r="H26" s="2" t="str">
        <f t="shared" si="3"/>
        <v>Available</v>
      </c>
    </row>
    <row r="27" spans="2:8" x14ac:dyDescent="0.25">
      <c r="B27" s="2" t="s">
        <v>818</v>
      </c>
      <c r="C27" s="2">
        <v>300</v>
      </c>
      <c r="D27" s="2">
        <v>350</v>
      </c>
      <c r="E27" s="2">
        <v>6</v>
      </c>
      <c r="F27" s="2">
        <v>0</v>
      </c>
      <c r="G27" s="2">
        <f t="shared" si="2"/>
        <v>6</v>
      </c>
      <c r="H27" s="2" t="str">
        <f t="shared" si="3"/>
        <v>Available</v>
      </c>
    </row>
    <row r="28" spans="2:8" x14ac:dyDescent="0.25">
      <c r="B28" s="2" t="s">
        <v>118</v>
      </c>
      <c r="C28" s="2">
        <v>300</v>
      </c>
      <c r="D28" s="2">
        <v>460</v>
      </c>
      <c r="E28" s="2">
        <v>7</v>
      </c>
      <c r="F28" s="2">
        <v>2</v>
      </c>
      <c r="G28" s="2">
        <f t="shared" si="2"/>
        <v>5</v>
      </c>
      <c r="H28" s="2" t="str">
        <f t="shared" si="3"/>
        <v>Available</v>
      </c>
    </row>
    <row r="29" spans="2:8" x14ac:dyDescent="0.25">
      <c r="B29" s="2" t="s">
        <v>39</v>
      </c>
      <c r="C29" s="2">
        <v>285</v>
      </c>
      <c r="D29" s="2">
        <v>380</v>
      </c>
      <c r="E29" s="2">
        <v>3</v>
      </c>
      <c r="F29" s="2">
        <v>0</v>
      </c>
      <c r="G29" s="2">
        <f t="shared" si="2"/>
        <v>3</v>
      </c>
      <c r="H29" s="2" t="str">
        <f t="shared" si="3"/>
        <v>Available</v>
      </c>
    </row>
    <row r="31" spans="2:8" ht="21" x14ac:dyDescent="0.25">
      <c r="B31" s="27" t="s">
        <v>606</v>
      </c>
      <c r="C31" s="29">
        <v>650</v>
      </c>
      <c r="D31" s="2">
        <v>750</v>
      </c>
      <c r="E31" s="2">
        <v>3</v>
      </c>
      <c r="F31" s="2">
        <v>0</v>
      </c>
      <c r="G31" s="2">
        <f t="shared" si="2"/>
        <v>3</v>
      </c>
      <c r="H31" s="2" t="str">
        <f t="shared" si="3"/>
        <v>Available</v>
      </c>
    </row>
  </sheetData>
  <mergeCells count="2">
    <mergeCell ref="B2:F2"/>
    <mergeCell ref="B23:F23"/>
  </mergeCells>
  <conditionalFormatting sqref="D4:E4 B1:F2 B3:E3 B4:C18 D5:D19 C20:D22 B20:B21 D29:D31 E5:E22 C25:D26 E25:E32">
    <cfRule type="expression" dxfId="565" priority="5">
      <formula>ROW()=CELL(ROW)</formula>
    </cfRule>
  </conditionalFormatting>
  <conditionalFormatting sqref="B23:F23 B24:E24">
    <cfRule type="expression" dxfId="564" priority="4">
      <formula>ROW()=CELL(ROW)</formula>
    </cfRule>
  </conditionalFormatting>
  <conditionalFormatting sqref="H4:H22">
    <cfRule type="containsText" dxfId="563" priority="3" operator="containsText" text="Reorder">
      <formula>NOT(ISERROR(SEARCH("Reorder",H4)))</formula>
    </cfRule>
  </conditionalFormatting>
  <conditionalFormatting sqref="H25:H31">
    <cfRule type="containsText" dxfId="562" priority="1" operator="containsText" text="Reorder">
      <formula>NOT(ISERROR(SEARCH("Reorder",H25)))</formula>
    </cfRule>
    <cfRule type="containsText" dxfId="561" priority="2" operator="containsText" text="Reorder ">
      <formula>NOT(ISERROR(SEARCH("Reorder ",H25)))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H37"/>
  <sheetViews>
    <sheetView workbookViewId="0"/>
  </sheetViews>
  <sheetFormatPr defaultRowHeight="15" x14ac:dyDescent="0.25"/>
  <cols>
    <col min="1" max="1" width="18.85546875" style="3" customWidth="1"/>
    <col min="2" max="2" width="30.28515625" style="2" customWidth="1"/>
    <col min="3" max="3" width="18.85546875" style="3" customWidth="1"/>
    <col min="4" max="4" width="18.5703125" style="3" customWidth="1"/>
    <col min="5" max="5" width="15.140625" style="2" customWidth="1"/>
    <col min="6" max="6" width="13.42578125" style="2" customWidth="1"/>
    <col min="7" max="7" width="16.28515625" style="2" customWidth="1"/>
    <col min="8" max="8" width="14" style="2" customWidth="1"/>
    <col min="9" max="16384" width="9.140625" style="3"/>
  </cols>
  <sheetData>
    <row r="2" spans="1:8" ht="44.25" customHeight="1" x14ac:dyDescent="0.5">
      <c r="B2" s="73" t="s">
        <v>150</v>
      </c>
      <c r="C2" s="62"/>
      <c r="D2" s="62"/>
      <c r="E2" s="62"/>
      <c r="F2" s="62"/>
    </row>
    <row r="3" spans="1:8" s="30" customFormat="1" ht="61.5" customHeight="1" x14ac:dyDescent="0.4">
      <c r="A3" s="5" t="s">
        <v>149</v>
      </c>
      <c r="B3" s="5" t="s">
        <v>65</v>
      </c>
      <c r="C3" s="5" t="s">
        <v>60</v>
      </c>
      <c r="D3" s="5" t="s">
        <v>62</v>
      </c>
      <c r="E3" s="5" t="s">
        <v>634</v>
      </c>
      <c r="F3" s="5" t="s">
        <v>635</v>
      </c>
      <c r="G3" s="5" t="s">
        <v>641</v>
      </c>
      <c r="H3" s="5" t="s">
        <v>637</v>
      </c>
    </row>
    <row r="4" spans="1:8" ht="15" customHeight="1" x14ac:dyDescent="0.25">
      <c r="A4" s="81" t="s">
        <v>148</v>
      </c>
      <c r="B4" s="2" t="s">
        <v>151</v>
      </c>
      <c r="C4" s="2">
        <v>350</v>
      </c>
      <c r="D4" s="2">
        <v>450</v>
      </c>
      <c r="E4" s="2">
        <v>6</v>
      </c>
      <c r="F4" s="2">
        <v>0</v>
      </c>
      <c r="G4" s="2">
        <f>E4-F4</f>
        <v>6</v>
      </c>
      <c r="H4" s="2" t="str">
        <f>IF(G4&lt;=2,"Reorder","Available")</f>
        <v>Available</v>
      </c>
    </row>
    <row r="5" spans="1:8" ht="15" customHeight="1" x14ac:dyDescent="0.25">
      <c r="A5" s="72"/>
      <c r="B5" s="7" t="s">
        <v>995</v>
      </c>
      <c r="C5" s="2">
        <v>400</v>
      </c>
      <c r="D5" s="2">
        <v>600</v>
      </c>
      <c r="E5" s="2">
        <v>5</v>
      </c>
      <c r="F5" s="2">
        <v>2</v>
      </c>
      <c r="G5" s="2">
        <f t="shared" ref="G5:G37" si="0">E5-F5</f>
        <v>3</v>
      </c>
      <c r="H5" s="2" t="str">
        <f t="shared" ref="H5:H32" si="1">IF(G5&lt;=2,"Reorder","Available")</f>
        <v>Available</v>
      </c>
    </row>
    <row r="6" spans="1:8" ht="15" customHeight="1" x14ac:dyDescent="0.25">
      <c r="A6" s="72"/>
      <c r="B6" s="7" t="s">
        <v>861</v>
      </c>
      <c r="C6" s="2">
        <v>400</v>
      </c>
      <c r="D6" s="2">
        <v>600</v>
      </c>
      <c r="E6" s="2">
        <v>3</v>
      </c>
      <c r="F6" s="2">
        <v>3</v>
      </c>
      <c r="G6" s="2">
        <f t="shared" si="0"/>
        <v>0</v>
      </c>
      <c r="H6" s="2" t="str">
        <f t="shared" si="1"/>
        <v>Reorder</v>
      </c>
    </row>
    <row r="7" spans="1:8" ht="15" customHeight="1" x14ac:dyDescent="0.25">
      <c r="A7" s="72"/>
      <c r="B7" s="7" t="s">
        <v>154</v>
      </c>
      <c r="C7" s="2">
        <v>400</v>
      </c>
      <c r="D7" s="2">
        <v>600</v>
      </c>
      <c r="E7" s="2">
        <v>8</v>
      </c>
      <c r="F7" s="2">
        <v>1</v>
      </c>
      <c r="G7" s="2">
        <f t="shared" si="0"/>
        <v>7</v>
      </c>
      <c r="H7" s="2" t="str">
        <f t="shared" si="1"/>
        <v>Available</v>
      </c>
    </row>
    <row r="8" spans="1:8" ht="15" customHeight="1" x14ac:dyDescent="0.25">
      <c r="A8" s="72"/>
      <c r="B8" s="7" t="s">
        <v>48</v>
      </c>
      <c r="C8" s="2">
        <v>400</v>
      </c>
      <c r="D8" s="2">
        <v>600</v>
      </c>
      <c r="E8" s="2">
        <v>3</v>
      </c>
      <c r="F8" s="2">
        <v>1</v>
      </c>
      <c r="G8" s="2">
        <f t="shared" si="0"/>
        <v>2</v>
      </c>
      <c r="H8" s="2" t="str">
        <f t="shared" si="1"/>
        <v>Reorder</v>
      </c>
    </row>
    <row r="9" spans="1:8" ht="15" customHeight="1" x14ac:dyDescent="0.25">
      <c r="A9" s="72"/>
      <c r="B9" s="7" t="s">
        <v>183</v>
      </c>
      <c r="C9" s="2">
        <v>390</v>
      </c>
      <c r="D9" s="2">
        <v>520</v>
      </c>
      <c r="E9" s="2">
        <v>2</v>
      </c>
      <c r="F9" s="2">
        <v>2</v>
      </c>
      <c r="G9" s="2">
        <f t="shared" si="0"/>
        <v>0</v>
      </c>
      <c r="H9" s="2" t="str">
        <f t="shared" si="1"/>
        <v>Reorder</v>
      </c>
    </row>
    <row r="10" spans="1:8" ht="15" customHeight="1" x14ac:dyDescent="0.25">
      <c r="A10" s="72"/>
      <c r="B10" s="7" t="s">
        <v>25</v>
      </c>
      <c r="C10" s="2">
        <v>500</v>
      </c>
      <c r="D10" s="2">
        <v>650</v>
      </c>
      <c r="E10" s="2">
        <v>3</v>
      </c>
      <c r="F10" s="2">
        <v>1</v>
      </c>
      <c r="G10" s="2">
        <f t="shared" si="0"/>
        <v>2</v>
      </c>
      <c r="H10" s="2" t="str">
        <f t="shared" si="1"/>
        <v>Reorder</v>
      </c>
    </row>
    <row r="11" spans="1:8" ht="15" customHeight="1" x14ac:dyDescent="0.25">
      <c r="A11" s="72"/>
      <c r="B11" s="7" t="s">
        <v>155</v>
      </c>
      <c r="C11" s="2">
        <v>365</v>
      </c>
      <c r="D11" s="2">
        <v>480</v>
      </c>
      <c r="E11" s="2">
        <v>0</v>
      </c>
      <c r="F11" s="2">
        <v>0</v>
      </c>
      <c r="G11" s="2">
        <f t="shared" si="0"/>
        <v>0</v>
      </c>
      <c r="H11" s="2" t="str">
        <f t="shared" si="1"/>
        <v>Reorder</v>
      </c>
    </row>
    <row r="12" spans="1:8" ht="15" customHeight="1" x14ac:dyDescent="0.25">
      <c r="B12" s="7"/>
      <c r="C12" s="2"/>
      <c r="D12" s="2"/>
    </row>
    <row r="13" spans="1:8" ht="15" customHeight="1" x14ac:dyDescent="0.25">
      <c r="A13" s="82" t="s">
        <v>160</v>
      </c>
      <c r="B13" s="7" t="s">
        <v>156</v>
      </c>
      <c r="C13" s="2">
        <v>290</v>
      </c>
      <c r="D13" s="2">
        <v>390</v>
      </c>
      <c r="E13" s="2">
        <v>3</v>
      </c>
      <c r="F13" s="2">
        <v>0</v>
      </c>
      <c r="G13" s="2">
        <f t="shared" si="0"/>
        <v>3</v>
      </c>
      <c r="H13" s="2" t="str">
        <f t="shared" si="1"/>
        <v>Available</v>
      </c>
    </row>
    <row r="14" spans="1:8" x14ac:dyDescent="0.25">
      <c r="A14" s="83"/>
      <c r="B14" s="2" t="s">
        <v>151</v>
      </c>
      <c r="C14" s="2">
        <v>280</v>
      </c>
      <c r="D14" s="2">
        <v>380</v>
      </c>
      <c r="E14" s="2">
        <v>2</v>
      </c>
      <c r="F14" s="2">
        <v>0</v>
      </c>
      <c r="G14" s="2">
        <f t="shared" si="0"/>
        <v>2</v>
      </c>
      <c r="H14" s="2" t="str">
        <f t="shared" si="1"/>
        <v>Reorder</v>
      </c>
    </row>
    <row r="15" spans="1:8" x14ac:dyDescent="0.25">
      <c r="A15" s="83"/>
      <c r="B15" s="2" t="s">
        <v>5</v>
      </c>
      <c r="C15" s="2">
        <v>280</v>
      </c>
      <c r="D15" s="2">
        <v>380</v>
      </c>
      <c r="E15" s="2">
        <v>2</v>
      </c>
      <c r="F15" s="2">
        <v>0</v>
      </c>
      <c r="G15" s="2">
        <f t="shared" si="0"/>
        <v>2</v>
      </c>
      <c r="H15" s="2" t="str">
        <f t="shared" si="1"/>
        <v>Reorder</v>
      </c>
    </row>
    <row r="16" spans="1:8" x14ac:dyDescent="0.25">
      <c r="A16" s="83"/>
      <c r="B16" s="2" t="s">
        <v>115</v>
      </c>
      <c r="C16" s="2">
        <v>310</v>
      </c>
      <c r="D16" s="2">
        <v>430</v>
      </c>
      <c r="E16" s="2">
        <v>4</v>
      </c>
      <c r="F16" s="2">
        <v>2</v>
      </c>
      <c r="G16" s="2">
        <f t="shared" si="0"/>
        <v>2</v>
      </c>
      <c r="H16" s="2" t="str">
        <f t="shared" si="1"/>
        <v>Reorder</v>
      </c>
    </row>
    <row r="17" spans="1:8" x14ac:dyDescent="0.25">
      <c r="A17" s="83"/>
      <c r="B17" s="2" t="s">
        <v>428</v>
      </c>
      <c r="C17" s="2">
        <v>310</v>
      </c>
      <c r="D17" s="2">
        <v>430</v>
      </c>
      <c r="E17" s="2">
        <v>0</v>
      </c>
      <c r="F17" s="2">
        <v>0</v>
      </c>
      <c r="G17" s="2">
        <f t="shared" si="0"/>
        <v>0</v>
      </c>
      <c r="H17" s="2" t="str">
        <f t="shared" si="1"/>
        <v>Reorder</v>
      </c>
    </row>
    <row r="18" spans="1:8" x14ac:dyDescent="0.25">
      <c r="A18" s="83"/>
      <c r="B18" s="2" t="s">
        <v>154</v>
      </c>
      <c r="C18" s="2">
        <v>350</v>
      </c>
      <c r="D18" s="2">
        <v>480</v>
      </c>
      <c r="E18" s="2">
        <v>0</v>
      </c>
      <c r="F18" s="2">
        <v>0</v>
      </c>
      <c r="G18" s="2">
        <f t="shared" si="0"/>
        <v>0</v>
      </c>
      <c r="H18" s="2" t="str">
        <f t="shared" si="1"/>
        <v>Reorder</v>
      </c>
    </row>
    <row r="19" spans="1:8" x14ac:dyDescent="0.25">
      <c r="A19" s="83"/>
      <c r="B19" s="2" t="s">
        <v>589</v>
      </c>
      <c r="C19" s="2">
        <v>400</v>
      </c>
      <c r="D19" s="2">
        <v>550</v>
      </c>
      <c r="E19" s="2">
        <v>0</v>
      </c>
      <c r="F19" s="2">
        <v>0</v>
      </c>
      <c r="G19" s="2">
        <f t="shared" si="0"/>
        <v>0</v>
      </c>
      <c r="H19" s="2" t="str">
        <f t="shared" si="1"/>
        <v>Reorder</v>
      </c>
    </row>
    <row r="20" spans="1:8" x14ac:dyDescent="0.25">
      <c r="A20" s="83"/>
      <c r="B20" s="2" t="s">
        <v>153</v>
      </c>
      <c r="C20" s="2">
        <v>310</v>
      </c>
      <c r="D20" s="2">
        <v>430</v>
      </c>
      <c r="E20" s="2">
        <v>2</v>
      </c>
      <c r="F20" s="2">
        <v>0</v>
      </c>
      <c r="G20" s="2">
        <f t="shared" si="0"/>
        <v>2</v>
      </c>
      <c r="H20" s="2" t="str">
        <f t="shared" si="1"/>
        <v>Reorder</v>
      </c>
    </row>
    <row r="21" spans="1:8" x14ac:dyDescent="0.25">
      <c r="A21" s="83"/>
      <c r="B21" s="2" t="s">
        <v>39</v>
      </c>
      <c r="C21" s="2">
        <v>400</v>
      </c>
      <c r="D21" s="2">
        <v>550</v>
      </c>
      <c r="E21" s="2">
        <v>2</v>
      </c>
      <c r="F21" s="2">
        <v>1</v>
      </c>
      <c r="G21" s="2">
        <f t="shared" si="0"/>
        <v>1</v>
      </c>
      <c r="H21" s="2" t="str">
        <f t="shared" si="1"/>
        <v>Reorder</v>
      </c>
    </row>
    <row r="22" spans="1:8" x14ac:dyDescent="0.25">
      <c r="A22" s="83"/>
      <c r="B22" s="2" t="s">
        <v>819</v>
      </c>
      <c r="C22" s="2">
        <v>390</v>
      </c>
      <c r="D22" s="2">
        <v>500</v>
      </c>
      <c r="E22" s="2">
        <v>1</v>
      </c>
      <c r="F22" s="2">
        <v>1</v>
      </c>
      <c r="G22" s="2">
        <f t="shared" si="0"/>
        <v>0</v>
      </c>
      <c r="H22" s="2" t="str">
        <f t="shared" si="1"/>
        <v>Reorder</v>
      </c>
    </row>
    <row r="23" spans="1:8" x14ac:dyDescent="0.25">
      <c r="A23" s="83"/>
      <c r="B23" s="2" t="s">
        <v>588</v>
      </c>
      <c r="C23" s="2">
        <v>385</v>
      </c>
      <c r="D23" s="2">
        <v>485</v>
      </c>
      <c r="E23" s="2">
        <v>1</v>
      </c>
      <c r="F23" s="2">
        <v>1</v>
      </c>
      <c r="G23" s="2">
        <f t="shared" si="0"/>
        <v>0</v>
      </c>
      <c r="H23" s="2" t="str">
        <f t="shared" si="1"/>
        <v>Reorder</v>
      </c>
    </row>
    <row r="24" spans="1:8" x14ac:dyDescent="0.25">
      <c r="C24" s="2"/>
      <c r="D24" s="2"/>
    </row>
    <row r="25" spans="1:8" x14ac:dyDescent="0.25">
      <c r="A25" s="83" t="s">
        <v>161</v>
      </c>
      <c r="B25" s="2" t="s">
        <v>370</v>
      </c>
      <c r="C25" s="2">
        <v>275</v>
      </c>
      <c r="D25" s="2">
        <v>375</v>
      </c>
      <c r="E25" s="2">
        <v>3</v>
      </c>
      <c r="F25" s="2">
        <v>0</v>
      </c>
      <c r="G25" s="2">
        <f t="shared" si="0"/>
        <v>3</v>
      </c>
      <c r="H25" s="2" t="str">
        <f t="shared" si="1"/>
        <v>Available</v>
      </c>
    </row>
    <row r="26" spans="1:8" x14ac:dyDescent="0.25">
      <c r="A26" s="83"/>
      <c r="B26" s="2" t="s">
        <v>158</v>
      </c>
      <c r="C26" s="2">
        <v>275</v>
      </c>
      <c r="D26" s="2">
        <v>375</v>
      </c>
      <c r="E26" s="2">
        <v>0</v>
      </c>
      <c r="F26" s="2">
        <v>0</v>
      </c>
      <c r="G26" s="2">
        <f t="shared" si="0"/>
        <v>0</v>
      </c>
      <c r="H26" s="2" t="str">
        <f t="shared" si="1"/>
        <v>Reorder</v>
      </c>
    </row>
    <row r="27" spans="1:8" x14ac:dyDescent="0.25">
      <c r="A27" s="83"/>
      <c r="B27" s="2" t="s">
        <v>157</v>
      </c>
      <c r="C27" s="2">
        <v>275</v>
      </c>
      <c r="D27" s="2">
        <v>375</v>
      </c>
      <c r="E27" s="2">
        <v>0</v>
      </c>
      <c r="F27" s="2">
        <v>0</v>
      </c>
      <c r="G27" s="2">
        <f t="shared" si="0"/>
        <v>0</v>
      </c>
      <c r="H27" s="2" t="str">
        <f t="shared" si="1"/>
        <v>Reorder</v>
      </c>
    </row>
    <row r="28" spans="1:8" x14ac:dyDescent="0.25">
      <c r="A28" s="83"/>
      <c r="B28" s="2" t="s">
        <v>48</v>
      </c>
      <c r="C28" s="2">
        <v>275</v>
      </c>
      <c r="D28" s="2">
        <v>375</v>
      </c>
      <c r="E28" s="2">
        <v>2</v>
      </c>
      <c r="F28" s="2">
        <v>0</v>
      </c>
    </row>
    <row r="29" spans="1:8" x14ac:dyDescent="0.25">
      <c r="A29" s="83"/>
      <c r="B29" s="2" t="s">
        <v>159</v>
      </c>
      <c r="C29" s="2">
        <v>230</v>
      </c>
      <c r="D29" s="2">
        <v>330</v>
      </c>
      <c r="E29" s="2">
        <v>0</v>
      </c>
      <c r="F29" s="2">
        <v>0</v>
      </c>
      <c r="G29" s="2">
        <f t="shared" si="0"/>
        <v>0</v>
      </c>
      <c r="H29" s="2" t="str">
        <f t="shared" si="1"/>
        <v>Reorder</v>
      </c>
    </row>
    <row r="30" spans="1:8" x14ac:dyDescent="0.25">
      <c r="A30" s="83"/>
      <c r="B30" s="2" t="s">
        <v>118</v>
      </c>
      <c r="C30" s="2">
        <v>350</v>
      </c>
      <c r="D30" s="2">
        <v>450</v>
      </c>
      <c r="E30" s="2">
        <v>3</v>
      </c>
      <c r="F30" s="2">
        <v>0</v>
      </c>
      <c r="G30" s="2">
        <f t="shared" si="0"/>
        <v>3</v>
      </c>
      <c r="H30" s="2" t="str">
        <f t="shared" si="1"/>
        <v>Available</v>
      </c>
    </row>
    <row r="31" spans="1:8" x14ac:dyDescent="0.25">
      <c r="A31" s="83"/>
      <c r="B31" s="2" t="s">
        <v>39</v>
      </c>
      <c r="C31" s="2">
        <v>430</v>
      </c>
      <c r="D31" s="2">
        <v>580</v>
      </c>
      <c r="E31" s="2">
        <v>3</v>
      </c>
      <c r="F31" s="2">
        <v>0</v>
      </c>
      <c r="G31" s="2">
        <f t="shared" si="0"/>
        <v>3</v>
      </c>
      <c r="H31" s="2" t="str">
        <f t="shared" si="1"/>
        <v>Available</v>
      </c>
    </row>
    <row r="32" spans="1:8" x14ac:dyDescent="0.25">
      <c r="A32" s="83"/>
      <c r="B32" s="2" t="s">
        <v>18</v>
      </c>
      <c r="C32" s="2">
        <v>650</v>
      </c>
      <c r="D32" s="2">
        <v>750</v>
      </c>
      <c r="E32" s="2">
        <v>3</v>
      </c>
      <c r="F32" s="2">
        <v>2</v>
      </c>
      <c r="G32" s="2">
        <f t="shared" si="0"/>
        <v>1</v>
      </c>
      <c r="H32" s="2" t="str">
        <f t="shared" si="1"/>
        <v>Reorder</v>
      </c>
    </row>
    <row r="33" spans="1:8" x14ac:dyDescent="0.25">
      <c r="A33" s="2" t="s">
        <v>958</v>
      </c>
      <c r="B33" s="2" t="s">
        <v>159</v>
      </c>
      <c r="C33" s="2">
        <v>250</v>
      </c>
      <c r="D33" s="2">
        <v>350</v>
      </c>
      <c r="E33" s="2">
        <v>5</v>
      </c>
      <c r="F33" s="2">
        <v>0</v>
      </c>
      <c r="G33" s="2">
        <f t="shared" si="0"/>
        <v>5</v>
      </c>
      <c r="H33" s="2" t="str">
        <f>IF(G33&lt;=2,"Reorder","Available")</f>
        <v>Available</v>
      </c>
    </row>
    <row r="34" spans="1:8" x14ac:dyDescent="0.25">
      <c r="D34" s="2"/>
    </row>
    <row r="35" spans="1:8" x14ac:dyDescent="0.25">
      <c r="A35" s="87" t="s">
        <v>125</v>
      </c>
      <c r="B35" s="2" t="s">
        <v>151</v>
      </c>
      <c r="C35" s="2">
        <v>400</v>
      </c>
      <c r="D35" s="2">
        <v>600</v>
      </c>
      <c r="E35" s="2">
        <v>3</v>
      </c>
      <c r="F35" s="2">
        <v>2</v>
      </c>
      <c r="G35" s="2">
        <f t="shared" si="0"/>
        <v>1</v>
      </c>
      <c r="H35" s="2" t="str">
        <f t="shared" ref="H35:H37" si="2">IF(G35&lt;=2,"Reorder","Available")</f>
        <v>Reorder</v>
      </c>
    </row>
    <row r="36" spans="1:8" x14ac:dyDescent="0.25">
      <c r="A36" s="85"/>
      <c r="B36" s="2" t="s">
        <v>5</v>
      </c>
      <c r="C36" s="2">
        <v>430</v>
      </c>
      <c r="D36" s="2">
        <v>630</v>
      </c>
      <c r="E36" s="2">
        <v>3</v>
      </c>
      <c r="F36" s="2">
        <v>2</v>
      </c>
      <c r="G36" s="2">
        <f t="shared" si="0"/>
        <v>1</v>
      </c>
      <c r="H36" s="2" t="str">
        <f t="shared" si="2"/>
        <v>Reorder</v>
      </c>
    </row>
    <row r="37" spans="1:8" x14ac:dyDescent="0.25">
      <c r="A37" s="86"/>
      <c r="B37" s="2" t="s">
        <v>428</v>
      </c>
      <c r="C37" s="2">
        <v>430</v>
      </c>
      <c r="D37" s="2">
        <v>630</v>
      </c>
      <c r="E37" s="2">
        <v>3</v>
      </c>
      <c r="F37" s="2">
        <v>2</v>
      </c>
      <c r="G37" s="2">
        <f t="shared" si="0"/>
        <v>1</v>
      </c>
      <c r="H37" s="2" t="str">
        <f t="shared" si="2"/>
        <v>Reorder</v>
      </c>
    </row>
  </sheetData>
  <mergeCells count="5">
    <mergeCell ref="B2:F2"/>
    <mergeCell ref="A4:A11"/>
    <mergeCell ref="A13:A23"/>
    <mergeCell ref="A25:A32"/>
    <mergeCell ref="A35:A37"/>
  </mergeCells>
  <conditionalFormatting sqref="E14:E19 B1:F2 B14:D22 E23:E36 C23:C28 D23:D35 B3:E13">
    <cfRule type="expression" dxfId="560" priority="3">
      <formula>ROW()=CELL(ROW)</formula>
    </cfRule>
  </conditionalFormatting>
  <conditionalFormatting sqref="H1:H1048576">
    <cfRule type="containsText" dxfId="559" priority="1" operator="containsText" text="Reorder">
      <formula>NOT(ISERROR(SEARCH("Reorder",H1)))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E27"/>
  <sheetViews>
    <sheetView workbookViewId="0"/>
  </sheetViews>
  <sheetFormatPr defaultRowHeight="15" x14ac:dyDescent="0.25"/>
  <cols>
    <col min="1" max="1" width="30.28515625" style="2" customWidth="1"/>
    <col min="2" max="2" width="18.85546875" style="3" customWidth="1"/>
    <col min="3" max="3" width="18.5703125" style="3" customWidth="1"/>
    <col min="4" max="4" width="17.5703125" style="3" customWidth="1"/>
    <col min="5" max="5" width="13.42578125" style="3" customWidth="1"/>
    <col min="6" max="16384" width="9.140625" style="3"/>
  </cols>
  <sheetData>
    <row r="2" spans="1:5" ht="44.25" customHeight="1" x14ac:dyDescent="0.5">
      <c r="A2" s="73" t="s">
        <v>162</v>
      </c>
      <c r="B2" s="62"/>
      <c r="C2" s="62"/>
      <c r="D2" s="62"/>
      <c r="E2" s="62"/>
    </row>
    <row r="3" spans="1:5" s="6" customFormat="1" ht="61.5" customHeight="1" x14ac:dyDescent="0.25">
      <c r="A3" s="4" t="s">
        <v>65</v>
      </c>
      <c r="B3" s="5" t="s">
        <v>60</v>
      </c>
      <c r="C3" s="5" t="s">
        <v>62</v>
      </c>
      <c r="D3" s="3"/>
    </row>
    <row r="4" spans="1:5" ht="15" customHeight="1" x14ac:dyDescent="0.25">
      <c r="A4" s="2" t="s">
        <v>163</v>
      </c>
      <c r="B4" s="2">
        <v>3700</v>
      </c>
      <c r="C4" s="2">
        <v>4500</v>
      </c>
    </row>
    <row r="5" spans="1:5" ht="15" customHeight="1" x14ac:dyDescent="0.25">
      <c r="A5" s="7" t="s">
        <v>164</v>
      </c>
      <c r="B5" s="2">
        <v>4500</v>
      </c>
      <c r="C5" s="2">
        <v>5100</v>
      </c>
    </row>
    <row r="6" spans="1:5" ht="15" customHeight="1" x14ac:dyDescent="0.25">
      <c r="A6" s="7" t="s">
        <v>165</v>
      </c>
      <c r="B6" s="2">
        <v>2000</v>
      </c>
      <c r="C6" s="2">
        <v>2600</v>
      </c>
    </row>
    <row r="7" spans="1:5" ht="15" customHeight="1" x14ac:dyDescent="0.25">
      <c r="A7" s="7" t="s">
        <v>166</v>
      </c>
      <c r="B7" s="2">
        <v>1300</v>
      </c>
      <c r="C7" s="2">
        <v>1800</v>
      </c>
    </row>
    <row r="8" spans="1:5" ht="15" customHeight="1" x14ac:dyDescent="0.25">
      <c r="A8" s="7" t="s">
        <v>167</v>
      </c>
      <c r="B8" s="2">
        <v>4000</v>
      </c>
      <c r="C8" s="2">
        <v>4650</v>
      </c>
    </row>
    <row r="9" spans="1:5" ht="15" customHeight="1" x14ac:dyDescent="0.25">
      <c r="A9" s="7" t="s">
        <v>168</v>
      </c>
      <c r="B9" s="2">
        <v>3800</v>
      </c>
      <c r="C9" s="2">
        <v>4500</v>
      </c>
    </row>
    <row r="10" spans="1:5" ht="15" customHeight="1" x14ac:dyDescent="0.25">
      <c r="A10" s="7"/>
      <c r="B10" s="2"/>
    </row>
    <row r="11" spans="1:5" ht="15" customHeight="1" x14ac:dyDescent="0.25">
      <c r="A11" s="7"/>
      <c r="B11" s="2"/>
    </row>
    <row r="12" spans="1:5" x14ac:dyDescent="0.25">
      <c r="B12" s="2"/>
    </row>
    <row r="13" spans="1:5" x14ac:dyDescent="0.25">
      <c r="B13" s="2"/>
    </row>
    <row r="14" spans="1:5" x14ac:dyDescent="0.25">
      <c r="B14" s="2"/>
    </row>
    <row r="15" spans="1:5" x14ac:dyDescent="0.25">
      <c r="B15" s="2"/>
    </row>
    <row r="16" spans="1:5" x14ac:dyDescent="0.25">
      <c r="B16" s="2"/>
    </row>
    <row r="17" spans="2:3" x14ac:dyDescent="0.25">
      <c r="B17" s="2"/>
      <c r="C17" s="2"/>
    </row>
    <row r="18" spans="2:3" x14ac:dyDescent="0.25">
      <c r="B18" s="2"/>
      <c r="C18" s="2"/>
    </row>
    <row r="19" spans="2:3" ht="15" customHeight="1" x14ac:dyDescent="0.25">
      <c r="B19" s="2"/>
      <c r="C19" s="2"/>
    </row>
    <row r="20" spans="2:3" x14ac:dyDescent="0.25">
      <c r="B20" s="2"/>
      <c r="C20" s="2"/>
    </row>
    <row r="21" spans="2:3" x14ac:dyDescent="0.25">
      <c r="B21" s="2"/>
      <c r="C21" s="2"/>
    </row>
    <row r="22" spans="2:3" x14ac:dyDescent="0.25">
      <c r="B22" s="2"/>
      <c r="C22" s="2"/>
    </row>
    <row r="23" spans="2:3" x14ac:dyDescent="0.25">
      <c r="B23" s="2"/>
      <c r="C23" s="2"/>
    </row>
    <row r="24" spans="2:3" x14ac:dyDescent="0.25">
      <c r="B24" s="2"/>
      <c r="C24" s="2"/>
    </row>
    <row r="25" spans="2:3" x14ac:dyDescent="0.25">
      <c r="B25" s="2"/>
      <c r="C25" s="2"/>
    </row>
    <row r="26" spans="2:3" x14ac:dyDescent="0.25">
      <c r="B26" s="2"/>
      <c r="C26" s="2"/>
    </row>
    <row r="27" spans="2:3" x14ac:dyDescent="0.25">
      <c r="C27" s="2"/>
    </row>
  </sheetData>
  <mergeCells count="1">
    <mergeCell ref="A2:E2"/>
  </mergeCells>
  <conditionalFormatting sqref="C12:C15 A1:E2 C17:C27 B12:B26 A5:A16 A3:D3 A4:C4 B5:C11">
    <cfRule type="expression" dxfId="558" priority="1">
      <formula>ROW()=CELL(ROW)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6"/>
  <sheetViews>
    <sheetView workbookViewId="0"/>
  </sheetViews>
  <sheetFormatPr defaultRowHeight="15" x14ac:dyDescent="0.25"/>
  <cols>
    <col min="1" max="1" width="15.28515625" style="3" customWidth="1"/>
    <col min="2" max="2" width="30.28515625" style="2" customWidth="1"/>
    <col min="3" max="3" width="18.85546875" style="16" customWidth="1"/>
    <col min="4" max="4" width="18.5703125" style="16" customWidth="1"/>
    <col min="5" max="5" width="13.28515625" style="2" customWidth="1"/>
    <col min="6" max="6" width="12.28515625" style="2" customWidth="1"/>
    <col min="7" max="7" width="17" style="2" customWidth="1"/>
    <col min="8" max="8" width="13.28515625" style="2" customWidth="1"/>
    <col min="9" max="16384" width="9.140625" style="3"/>
  </cols>
  <sheetData>
    <row r="1" spans="1:8" ht="44.25" customHeight="1" x14ac:dyDescent="0.5">
      <c r="B1" s="73" t="s">
        <v>169</v>
      </c>
      <c r="C1" s="62"/>
      <c r="D1" s="62"/>
      <c r="E1" s="62"/>
      <c r="F1" s="62"/>
    </row>
    <row r="2" spans="1:8" s="6" customFormat="1" ht="61.5" customHeight="1" x14ac:dyDescent="0.25">
      <c r="A2" s="4" t="s">
        <v>149</v>
      </c>
      <c r="B2" s="4" t="s">
        <v>65</v>
      </c>
      <c r="C2" s="5" t="s">
        <v>60</v>
      </c>
      <c r="D2" s="5" t="s">
        <v>62</v>
      </c>
      <c r="E2" s="5" t="s">
        <v>634</v>
      </c>
      <c r="F2" s="5" t="s">
        <v>635</v>
      </c>
      <c r="G2" s="5" t="s">
        <v>641</v>
      </c>
      <c r="H2" s="5" t="s">
        <v>638</v>
      </c>
    </row>
    <row r="3" spans="1:8" ht="15" customHeight="1" x14ac:dyDescent="0.25">
      <c r="A3" s="81" t="s">
        <v>106</v>
      </c>
      <c r="B3" s="2" t="s">
        <v>170</v>
      </c>
      <c r="C3" s="2">
        <v>805</v>
      </c>
      <c r="D3" s="2">
        <v>905</v>
      </c>
      <c r="E3" s="2">
        <v>1</v>
      </c>
      <c r="F3" s="2">
        <v>1</v>
      </c>
      <c r="G3" s="2">
        <f>E3-F3</f>
        <v>0</v>
      </c>
      <c r="H3" s="2" t="str">
        <f>IF(G3&lt;=0,"Reorder","Available")</f>
        <v>Reorder</v>
      </c>
    </row>
    <row r="4" spans="1:8" ht="15" customHeight="1" x14ac:dyDescent="0.25">
      <c r="A4" s="72"/>
      <c r="B4" s="7" t="s">
        <v>171</v>
      </c>
      <c r="C4" s="2">
        <v>700</v>
      </c>
      <c r="D4" s="2">
        <v>805</v>
      </c>
      <c r="E4" s="2">
        <v>1</v>
      </c>
      <c r="F4" s="2">
        <v>0</v>
      </c>
      <c r="G4" s="2">
        <f t="shared" ref="G4:G16" si="0">E4-F4</f>
        <v>1</v>
      </c>
      <c r="H4" s="2" t="str">
        <f t="shared" ref="H4:H16" si="1">IF(G4&lt;=0,"Reorder","Available")</f>
        <v>Available</v>
      </c>
    </row>
    <row r="5" spans="1:8" ht="15" customHeight="1" x14ac:dyDescent="0.25">
      <c r="A5" s="72"/>
      <c r="B5" s="7" t="s">
        <v>172</v>
      </c>
      <c r="C5" s="2">
        <v>1005</v>
      </c>
      <c r="D5" s="2">
        <v>1075</v>
      </c>
      <c r="E5" s="2">
        <v>2</v>
      </c>
      <c r="F5" s="2">
        <v>2</v>
      </c>
      <c r="G5" s="2">
        <f t="shared" si="0"/>
        <v>0</v>
      </c>
      <c r="H5" s="2" t="str">
        <f t="shared" si="1"/>
        <v>Reorder</v>
      </c>
    </row>
    <row r="6" spans="1:8" ht="15" customHeight="1" x14ac:dyDescent="0.25">
      <c r="A6" s="72"/>
      <c r="B6" s="7" t="s">
        <v>173</v>
      </c>
      <c r="C6" s="2">
        <v>980</v>
      </c>
      <c r="D6" s="2">
        <v>1080</v>
      </c>
      <c r="E6" s="2">
        <v>0</v>
      </c>
      <c r="F6" s="2">
        <v>0</v>
      </c>
      <c r="G6" s="2">
        <f t="shared" si="0"/>
        <v>0</v>
      </c>
      <c r="H6" s="2" t="str">
        <f t="shared" si="1"/>
        <v>Reorder</v>
      </c>
    </row>
    <row r="7" spans="1:8" ht="15" customHeight="1" x14ac:dyDescent="0.25">
      <c r="A7" s="72"/>
      <c r="B7" s="7" t="s">
        <v>49</v>
      </c>
      <c r="C7" s="2">
        <v>800</v>
      </c>
      <c r="D7" s="2">
        <v>850</v>
      </c>
      <c r="E7" s="2">
        <v>0</v>
      </c>
      <c r="F7" s="2">
        <v>0</v>
      </c>
      <c r="G7" s="2">
        <f t="shared" si="0"/>
        <v>0</v>
      </c>
      <c r="H7" s="2" t="str">
        <f t="shared" si="1"/>
        <v>Reorder</v>
      </c>
    </row>
    <row r="8" spans="1:8" ht="15" customHeight="1" x14ac:dyDescent="0.25">
      <c r="A8" s="72"/>
      <c r="B8" s="7" t="s">
        <v>48</v>
      </c>
      <c r="C8" s="2">
        <v>970</v>
      </c>
      <c r="D8" s="2">
        <v>1050</v>
      </c>
      <c r="E8" s="2">
        <v>1</v>
      </c>
      <c r="F8" s="2">
        <v>1</v>
      </c>
      <c r="G8" s="2">
        <f t="shared" si="0"/>
        <v>0</v>
      </c>
      <c r="H8" s="2" t="str">
        <f t="shared" si="1"/>
        <v>Reorder</v>
      </c>
    </row>
    <row r="9" spans="1:8" ht="15" customHeight="1" x14ac:dyDescent="0.25">
      <c r="A9" s="88" t="s">
        <v>127</v>
      </c>
      <c r="B9" s="7"/>
      <c r="C9" s="2"/>
      <c r="D9" s="2"/>
    </row>
    <row r="10" spans="1:8" ht="15" customHeight="1" x14ac:dyDescent="0.25">
      <c r="A10" s="89"/>
      <c r="B10" s="7" t="s">
        <v>48</v>
      </c>
      <c r="C10" s="2">
        <v>970</v>
      </c>
      <c r="D10" s="2">
        <v>1080</v>
      </c>
      <c r="E10" s="2">
        <v>0</v>
      </c>
      <c r="F10" s="2">
        <v>0</v>
      </c>
      <c r="G10" s="2">
        <f t="shared" si="0"/>
        <v>0</v>
      </c>
      <c r="H10" s="2" t="str">
        <f t="shared" si="1"/>
        <v>Reorder</v>
      </c>
    </row>
    <row r="11" spans="1:8" x14ac:dyDescent="0.25">
      <c r="A11" s="89"/>
      <c r="B11" s="2" t="s">
        <v>174</v>
      </c>
      <c r="C11" s="2">
        <v>1000</v>
      </c>
      <c r="D11" s="2">
        <v>1100</v>
      </c>
      <c r="E11" s="2">
        <v>2</v>
      </c>
      <c r="F11" s="2">
        <v>1</v>
      </c>
      <c r="G11" s="2">
        <f t="shared" si="0"/>
        <v>1</v>
      </c>
      <c r="H11" s="2" t="str">
        <f t="shared" si="1"/>
        <v>Available</v>
      </c>
    </row>
    <row r="12" spans="1:8" x14ac:dyDescent="0.25">
      <c r="A12" s="89"/>
      <c r="B12" s="2" t="s">
        <v>175</v>
      </c>
      <c r="C12" s="2">
        <v>1050</v>
      </c>
      <c r="D12" s="2">
        <v>1200</v>
      </c>
      <c r="E12" s="2">
        <v>2</v>
      </c>
      <c r="F12" s="2">
        <v>0</v>
      </c>
      <c r="G12" s="2">
        <f t="shared" si="0"/>
        <v>2</v>
      </c>
      <c r="H12" s="2" t="str">
        <f t="shared" si="1"/>
        <v>Available</v>
      </c>
    </row>
    <row r="13" spans="1:8" x14ac:dyDescent="0.25">
      <c r="A13" s="89"/>
      <c r="B13" s="2" t="s">
        <v>385</v>
      </c>
      <c r="C13" s="2">
        <v>940</v>
      </c>
      <c r="D13" s="2">
        <v>1100</v>
      </c>
      <c r="E13" s="2">
        <v>2</v>
      </c>
      <c r="F13" s="2">
        <v>1</v>
      </c>
      <c r="G13" s="2">
        <f t="shared" si="0"/>
        <v>1</v>
      </c>
      <c r="H13" s="2" t="str">
        <f t="shared" si="1"/>
        <v>Available</v>
      </c>
    </row>
    <row r="14" spans="1:8" x14ac:dyDescent="0.25">
      <c r="A14" s="89"/>
      <c r="B14" s="2" t="s">
        <v>172</v>
      </c>
      <c r="C14" s="2">
        <v>1050</v>
      </c>
      <c r="D14" s="2">
        <v>1200</v>
      </c>
      <c r="E14" s="2">
        <v>2</v>
      </c>
      <c r="F14" s="2">
        <v>1</v>
      </c>
      <c r="G14" s="2">
        <f t="shared" si="0"/>
        <v>1</v>
      </c>
      <c r="H14" s="2" t="str">
        <f t="shared" si="1"/>
        <v>Available</v>
      </c>
    </row>
    <row r="15" spans="1:8" x14ac:dyDescent="0.25">
      <c r="A15" s="90"/>
      <c r="B15" s="2" t="s">
        <v>176</v>
      </c>
      <c r="C15" s="2">
        <v>1505</v>
      </c>
      <c r="D15" s="2">
        <v>1650</v>
      </c>
      <c r="E15" s="2">
        <v>1</v>
      </c>
      <c r="F15" s="2">
        <v>0</v>
      </c>
      <c r="G15" s="2">
        <f t="shared" si="0"/>
        <v>1</v>
      </c>
      <c r="H15" s="2" t="str">
        <f t="shared" si="1"/>
        <v>Available</v>
      </c>
    </row>
    <row r="16" spans="1:8" x14ac:dyDescent="0.25">
      <c r="A16" s="2" t="s">
        <v>580</v>
      </c>
      <c r="B16" s="2" t="s">
        <v>581</v>
      </c>
      <c r="C16" s="16">
        <v>610</v>
      </c>
      <c r="D16" s="16">
        <v>660</v>
      </c>
      <c r="E16" s="2">
        <v>0</v>
      </c>
      <c r="F16" s="2">
        <v>0</v>
      </c>
      <c r="G16" s="2">
        <f t="shared" si="0"/>
        <v>0</v>
      </c>
      <c r="H16" s="2" t="str">
        <f t="shared" si="1"/>
        <v>Reorder</v>
      </c>
    </row>
    <row r="18" spans="1:8" ht="44.25" customHeight="1" x14ac:dyDescent="0.5">
      <c r="B18" s="73" t="s">
        <v>177</v>
      </c>
      <c r="C18" s="62"/>
      <c r="D18" s="62"/>
      <c r="E18" s="62"/>
      <c r="F18" s="62"/>
    </row>
    <row r="19" spans="1:8" s="6" customFormat="1" ht="61.5" customHeight="1" x14ac:dyDescent="0.25">
      <c r="A19" s="4" t="s">
        <v>149</v>
      </c>
      <c r="B19" s="4" t="s">
        <v>65</v>
      </c>
      <c r="C19" s="5" t="s">
        <v>365</v>
      </c>
      <c r="D19" s="5" t="s">
        <v>643</v>
      </c>
      <c r="E19" s="5" t="s">
        <v>634</v>
      </c>
      <c r="F19" s="5" t="s">
        <v>635</v>
      </c>
      <c r="G19" s="5" t="s">
        <v>641</v>
      </c>
      <c r="H19" s="5" t="s">
        <v>637</v>
      </c>
    </row>
    <row r="20" spans="1:8" x14ac:dyDescent="0.25">
      <c r="B20" s="2" t="s">
        <v>151</v>
      </c>
      <c r="C20" s="16">
        <v>200</v>
      </c>
      <c r="D20" s="16">
        <v>250</v>
      </c>
      <c r="E20" s="2">
        <v>4</v>
      </c>
      <c r="F20" s="2">
        <v>1</v>
      </c>
      <c r="G20" s="2">
        <f>E20-F20</f>
        <v>3</v>
      </c>
      <c r="H20" s="2" t="str">
        <f>IF(G20&lt;=1,"Reorder","Available")</f>
        <v>Available</v>
      </c>
    </row>
    <row r="21" spans="1:8" x14ac:dyDescent="0.25">
      <c r="B21" s="2" t="s">
        <v>5</v>
      </c>
      <c r="C21" s="16">
        <v>310</v>
      </c>
      <c r="D21" s="16">
        <v>350</v>
      </c>
      <c r="E21" s="2">
        <v>3</v>
      </c>
      <c r="F21" s="2">
        <v>1</v>
      </c>
      <c r="G21" s="2">
        <f t="shared" ref="G21:G26" si="2">E21-F21</f>
        <v>2</v>
      </c>
      <c r="H21" s="2" t="str">
        <f t="shared" ref="H21:H26" si="3">IF(G21&lt;=1,"Reorder","Available")</f>
        <v>Available</v>
      </c>
    </row>
    <row r="22" spans="1:8" x14ac:dyDescent="0.25">
      <c r="B22" s="2" t="s">
        <v>178</v>
      </c>
      <c r="C22" s="16">
        <v>120</v>
      </c>
      <c r="D22" s="16">
        <v>150</v>
      </c>
      <c r="E22" s="2">
        <v>4</v>
      </c>
      <c r="F22" s="2">
        <v>2</v>
      </c>
      <c r="G22" s="2">
        <f t="shared" si="2"/>
        <v>2</v>
      </c>
      <c r="H22" s="2" t="str">
        <f t="shared" si="3"/>
        <v>Available</v>
      </c>
    </row>
    <row r="23" spans="1:8" x14ac:dyDescent="0.25">
      <c r="B23" s="2" t="s">
        <v>12</v>
      </c>
      <c r="C23" s="16">
        <v>150</v>
      </c>
      <c r="D23" s="16">
        <v>200</v>
      </c>
      <c r="E23" s="2">
        <v>5</v>
      </c>
      <c r="F23" s="2">
        <v>0</v>
      </c>
      <c r="G23" s="2">
        <f t="shared" si="2"/>
        <v>5</v>
      </c>
      <c r="H23" s="2" t="str">
        <f t="shared" si="3"/>
        <v>Available</v>
      </c>
    </row>
    <row r="24" spans="1:8" x14ac:dyDescent="0.25">
      <c r="B24" s="2" t="s">
        <v>179</v>
      </c>
      <c r="C24" s="16">
        <v>230</v>
      </c>
      <c r="D24" s="16">
        <v>280</v>
      </c>
      <c r="E24" s="2">
        <v>5</v>
      </c>
      <c r="F24" s="2">
        <v>0</v>
      </c>
      <c r="G24" s="2">
        <f t="shared" si="2"/>
        <v>5</v>
      </c>
      <c r="H24" s="2" t="str">
        <f t="shared" si="3"/>
        <v>Available</v>
      </c>
    </row>
    <row r="25" spans="1:8" x14ac:dyDescent="0.25">
      <c r="B25" s="2" t="s">
        <v>17</v>
      </c>
      <c r="C25" s="16">
        <v>280</v>
      </c>
      <c r="D25" s="16">
        <v>340</v>
      </c>
      <c r="E25" s="2">
        <v>5</v>
      </c>
      <c r="F25" s="2">
        <v>1</v>
      </c>
      <c r="G25" s="2">
        <f t="shared" si="2"/>
        <v>4</v>
      </c>
      <c r="H25" s="2" t="str">
        <f t="shared" si="3"/>
        <v>Available</v>
      </c>
    </row>
    <row r="26" spans="1:8" x14ac:dyDescent="0.25">
      <c r="B26" s="2" t="s">
        <v>180</v>
      </c>
      <c r="C26" s="16">
        <v>230</v>
      </c>
      <c r="D26" s="16">
        <v>280</v>
      </c>
      <c r="E26" s="2">
        <v>6</v>
      </c>
      <c r="F26" s="2">
        <v>0</v>
      </c>
      <c r="G26" s="2">
        <f t="shared" si="2"/>
        <v>6</v>
      </c>
      <c r="H26" s="2" t="str">
        <f t="shared" si="3"/>
        <v>Available</v>
      </c>
    </row>
  </sheetData>
  <mergeCells count="4">
    <mergeCell ref="B1:F1"/>
    <mergeCell ref="A3:A8"/>
    <mergeCell ref="B18:F18"/>
    <mergeCell ref="A9:A15"/>
  </mergeCells>
  <conditionalFormatting sqref="B16:B17 B1:F1 B2:E15">
    <cfRule type="expression" dxfId="557" priority="4">
      <formula>ROW()=CELL(ROW)</formula>
    </cfRule>
  </conditionalFormatting>
  <conditionalFormatting sqref="B18:F18 B19:E19">
    <cfRule type="expression" dxfId="556" priority="3">
      <formula>ROW()=CELL(ROW)</formula>
    </cfRule>
  </conditionalFormatting>
  <conditionalFormatting sqref="H2:H16">
    <cfRule type="containsText" dxfId="555" priority="2" operator="containsText" text="Reorder">
      <formula>NOT(ISERROR(SEARCH("Reorder",H2)))</formula>
    </cfRule>
  </conditionalFormatting>
  <conditionalFormatting sqref="H20:H26">
    <cfRule type="containsText" dxfId="554" priority="1" operator="containsText" text="Reorder">
      <formula>NOT(ISERROR(SEARCH("Reorder",H20)))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0"/>
  <sheetViews>
    <sheetView workbookViewId="0">
      <selection activeCell="C25" sqref="C25"/>
    </sheetView>
  </sheetViews>
  <sheetFormatPr defaultRowHeight="26.25" x14ac:dyDescent="0.4"/>
  <cols>
    <col min="1" max="1" width="17.140625" style="8" customWidth="1"/>
    <col min="2" max="2" width="30.28515625" style="3" customWidth="1"/>
    <col min="3" max="3" width="18.85546875" style="3" customWidth="1"/>
    <col min="4" max="4" width="18.5703125" style="3" customWidth="1"/>
    <col min="5" max="5" width="14" style="2" customWidth="1"/>
    <col min="6" max="6" width="13.42578125" style="2" customWidth="1"/>
    <col min="7" max="7" width="17.5703125" style="2" customWidth="1"/>
    <col min="8" max="8" width="13.42578125" style="2" customWidth="1"/>
    <col min="9" max="16384" width="9.140625" style="3"/>
  </cols>
  <sheetData>
    <row r="1" spans="1:8" ht="44.25" customHeight="1" x14ac:dyDescent="0.5">
      <c r="A1" s="61" t="s">
        <v>656</v>
      </c>
      <c r="B1" s="62"/>
      <c r="C1" s="62"/>
      <c r="D1" s="62"/>
      <c r="E1" s="62"/>
      <c r="F1" s="62"/>
    </row>
    <row r="2" spans="1:8" s="7" customFormat="1" ht="61.5" customHeight="1" x14ac:dyDescent="0.25">
      <c r="A2" s="5" t="s">
        <v>0</v>
      </c>
      <c r="B2" s="4" t="s">
        <v>3</v>
      </c>
      <c r="C2" s="5" t="s">
        <v>19</v>
      </c>
      <c r="D2" s="5" t="s">
        <v>20</v>
      </c>
      <c r="E2" s="5" t="s">
        <v>634</v>
      </c>
      <c r="F2" s="5" t="s">
        <v>635</v>
      </c>
      <c r="G2" s="5" t="s">
        <v>641</v>
      </c>
      <c r="H2" s="7" t="s">
        <v>642</v>
      </c>
    </row>
    <row r="3" spans="1:8" ht="15" x14ac:dyDescent="0.25">
      <c r="A3" s="60" t="s">
        <v>4</v>
      </c>
      <c r="B3" s="3" t="s">
        <v>884</v>
      </c>
      <c r="C3" s="2">
        <v>145</v>
      </c>
      <c r="D3" s="2">
        <v>180</v>
      </c>
      <c r="E3" s="2">
        <v>20</v>
      </c>
      <c r="F3" s="2">
        <v>0</v>
      </c>
      <c r="G3" s="2">
        <f>E3-F3</f>
        <v>20</v>
      </c>
      <c r="H3" s="2" t="str">
        <f>IF(G3&lt;=5,"Reorder","Available")</f>
        <v>Available</v>
      </c>
    </row>
    <row r="4" spans="1:8" ht="15" x14ac:dyDescent="0.25">
      <c r="A4" s="60"/>
      <c r="B4" s="3" t="s">
        <v>184</v>
      </c>
      <c r="C4" s="2">
        <v>155</v>
      </c>
      <c r="D4" s="2">
        <v>200</v>
      </c>
      <c r="E4" s="2">
        <v>6</v>
      </c>
      <c r="F4" s="2">
        <v>2</v>
      </c>
      <c r="G4" s="2">
        <f t="shared" ref="G4:G30" si="0">E4-F4</f>
        <v>4</v>
      </c>
      <c r="H4" s="2" t="str">
        <f t="shared" ref="H4:H30" si="1">IF(G4&lt;=5,"Reorder","Available")</f>
        <v>Reorder</v>
      </c>
    </row>
    <row r="5" spans="1:8" ht="14.25" customHeight="1" x14ac:dyDescent="0.25">
      <c r="A5" s="60"/>
      <c r="B5" s="3" t="s">
        <v>5</v>
      </c>
      <c r="C5" s="2">
        <v>145</v>
      </c>
      <c r="D5" s="2">
        <v>180</v>
      </c>
      <c r="E5" s="2">
        <v>14</v>
      </c>
      <c r="F5" s="2">
        <v>5</v>
      </c>
      <c r="G5" s="2">
        <f t="shared" si="0"/>
        <v>9</v>
      </c>
      <c r="H5" s="2" t="str">
        <f t="shared" si="1"/>
        <v>Available</v>
      </c>
    </row>
    <row r="6" spans="1:8" ht="15" x14ac:dyDescent="0.25">
      <c r="A6" s="60"/>
      <c r="B6" s="3" t="s">
        <v>6</v>
      </c>
      <c r="C6" s="2">
        <v>145</v>
      </c>
      <c r="D6" s="2">
        <v>180</v>
      </c>
      <c r="E6" s="2">
        <v>10</v>
      </c>
      <c r="F6" s="2">
        <v>2</v>
      </c>
      <c r="G6" s="2">
        <f t="shared" si="0"/>
        <v>8</v>
      </c>
      <c r="H6" s="2" t="str">
        <f t="shared" si="1"/>
        <v>Available</v>
      </c>
    </row>
    <row r="7" spans="1:8" ht="15" x14ac:dyDescent="0.25">
      <c r="A7" s="60"/>
      <c r="B7" s="3" t="s">
        <v>8</v>
      </c>
      <c r="C7" s="2">
        <v>145</v>
      </c>
      <c r="D7" s="2">
        <v>180</v>
      </c>
      <c r="E7" s="2">
        <v>10</v>
      </c>
      <c r="F7" s="2">
        <v>1</v>
      </c>
      <c r="G7" s="2">
        <f t="shared" si="0"/>
        <v>9</v>
      </c>
      <c r="H7" s="2" t="str">
        <f t="shared" si="1"/>
        <v>Available</v>
      </c>
    </row>
    <row r="8" spans="1:8" ht="15" x14ac:dyDescent="0.25">
      <c r="A8" s="60"/>
      <c r="B8" s="3" t="s">
        <v>181</v>
      </c>
      <c r="C8" s="2">
        <v>145</v>
      </c>
      <c r="D8" s="2">
        <v>180</v>
      </c>
      <c r="E8" s="2">
        <v>6</v>
      </c>
      <c r="F8" s="2">
        <v>1</v>
      </c>
      <c r="G8" s="2">
        <f t="shared" si="0"/>
        <v>5</v>
      </c>
      <c r="H8" s="2" t="str">
        <f t="shared" si="1"/>
        <v>Reorder</v>
      </c>
    </row>
    <row r="9" spans="1:8" ht="15" hidden="1" x14ac:dyDescent="0.25">
      <c r="A9" s="60"/>
      <c r="C9" s="2">
        <v>145</v>
      </c>
      <c r="D9" s="2"/>
      <c r="E9" s="2">
        <v>20</v>
      </c>
      <c r="F9" s="2">
        <v>10</v>
      </c>
      <c r="G9" s="2">
        <f t="shared" si="0"/>
        <v>10</v>
      </c>
      <c r="H9" s="2" t="str">
        <f t="shared" si="1"/>
        <v>Available</v>
      </c>
    </row>
    <row r="10" spans="1:8" ht="15" hidden="1" x14ac:dyDescent="0.25">
      <c r="A10" s="60"/>
      <c r="C10" s="2">
        <v>145</v>
      </c>
      <c r="D10" s="2"/>
      <c r="E10" s="2">
        <v>20</v>
      </c>
      <c r="F10" s="2">
        <v>10</v>
      </c>
      <c r="G10" s="2">
        <f t="shared" si="0"/>
        <v>10</v>
      </c>
      <c r="H10" s="2" t="str">
        <f t="shared" si="1"/>
        <v>Available</v>
      </c>
    </row>
    <row r="11" spans="1:8" ht="15" hidden="1" x14ac:dyDescent="0.25">
      <c r="A11" s="60"/>
      <c r="C11" s="2">
        <v>145</v>
      </c>
      <c r="D11" s="2"/>
      <c r="E11" s="2">
        <v>20</v>
      </c>
      <c r="F11" s="2">
        <v>10</v>
      </c>
      <c r="G11" s="2">
        <f t="shared" si="0"/>
        <v>10</v>
      </c>
      <c r="H11" s="2" t="str">
        <f t="shared" si="1"/>
        <v>Available</v>
      </c>
    </row>
    <row r="12" spans="1:8" ht="15" x14ac:dyDescent="0.25">
      <c r="A12" s="60" t="s">
        <v>10</v>
      </c>
      <c r="B12" s="3" t="s">
        <v>11</v>
      </c>
      <c r="C12" s="2">
        <v>145</v>
      </c>
      <c r="D12" s="2">
        <v>180</v>
      </c>
      <c r="E12" s="2">
        <v>12</v>
      </c>
      <c r="F12" s="2">
        <v>3</v>
      </c>
      <c r="G12" s="2">
        <f t="shared" si="0"/>
        <v>9</v>
      </c>
      <c r="H12" s="2" t="str">
        <f t="shared" si="1"/>
        <v>Available</v>
      </c>
    </row>
    <row r="13" spans="1:8" ht="15" x14ac:dyDescent="0.25">
      <c r="A13" s="60"/>
      <c r="B13" s="3" t="s">
        <v>12</v>
      </c>
      <c r="C13" s="2">
        <v>145</v>
      </c>
      <c r="D13" s="2">
        <v>180</v>
      </c>
      <c r="E13" s="2">
        <v>14</v>
      </c>
      <c r="F13" s="2">
        <v>8</v>
      </c>
      <c r="G13" s="2">
        <f t="shared" si="0"/>
        <v>6</v>
      </c>
      <c r="H13" s="2" t="str">
        <f t="shared" si="1"/>
        <v>Available</v>
      </c>
    </row>
    <row r="14" spans="1:8" ht="15" x14ac:dyDescent="0.25">
      <c r="A14" s="60"/>
      <c r="B14" s="3" t="s">
        <v>13</v>
      </c>
      <c r="C14" s="2">
        <v>145</v>
      </c>
      <c r="D14" s="2">
        <v>190</v>
      </c>
      <c r="E14" s="2">
        <v>7</v>
      </c>
      <c r="F14" s="2">
        <v>0</v>
      </c>
      <c r="G14" s="2">
        <f t="shared" si="0"/>
        <v>7</v>
      </c>
      <c r="H14" s="2" t="str">
        <f t="shared" si="1"/>
        <v>Available</v>
      </c>
    </row>
    <row r="15" spans="1:8" ht="15" x14ac:dyDescent="0.25">
      <c r="A15" s="60"/>
      <c r="B15" s="3" t="s">
        <v>36</v>
      </c>
      <c r="C15" s="2">
        <v>180</v>
      </c>
      <c r="D15" s="2">
        <v>230</v>
      </c>
      <c r="E15" s="2">
        <v>6</v>
      </c>
      <c r="F15" s="2">
        <v>1</v>
      </c>
      <c r="G15" s="2">
        <f>E15-F15</f>
        <v>5</v>
      </c>
      <c r="H15" s="2" t="str">
        <f t="shared" si="1"/>
        <v>Reorder</v>
      </c>
    </row>
    <row r="16" spans="1:8" ht="15" x14ac:dyDescent="0.25">
      <c r="A16" s="60" t="s">
        <v>21</v>
      </c>
      <c r="B16" s="3" t="s">
        <v>17</v>
      </c>
      <c r="C16" s="2">
        <v>180</v>
      </c>
      <c r="D16" s="2">
        <v>200</v>
      </c>
      <c r="E16" s="2">
        <v>15</v>
      </c>
      <c r="F16" s="2">
        <v>5</v>
      </c>
      <c r="G16" s="2">
        <f>E16-F16</f>
        <v>10</v>
      </c>
      <c r="H16" s="2" t="str">
        <f t="shared" si="1"/>
        <v>Available</v>
      </c>
    </row>
    <row r="17" spans="1:8" ht="15" x14ac:dyDescent="0.25">
      <c r="A17" s="60"/>
      <c r="B17" s="3" t="s">
        <v>182</v>
      </c>
      <c r="C17" s="2">
        <v>250</v>
      </c>
      <c r="D17" s="2">
        <v>300</v>
      </c>
      <c r="E17" s="2">
        <v>9</v>
      </c>
      <c r="F17" s="2">
        <v>3</v>
      </c>
      <c r="G17" s="2">
        <f t="shared" si="0"/>
        <v>6</v>
      </c>
      <c r="H17" s="2" t="str">
        <f t="shared" si="1"/>
        <v>Available</v>
      </c>
    </row>
    <row r="18" spans="1:8" ht="15" x14ac:dyDescent="0.25">
      <c r="A18" s="60"/>
      <c r="B18" s="3" t="s">
        <v>180</v>
      </c>
      <c r="C18" s="2">
        <v>155</v>
      </c>
      <c r="D18" s="2">
        <v>190</v>
      </c>
      <c r="E18" s="2">
        <v>6</v>
      </c>
      <c r="F18" s="2">
        <v>5</v>
      </c>
      <c r="G18" s="2">
        <f t="shared" si="0"/>
        <v>1</v>
      </c>
      <c r="H18" s="2" t="str">
        <f t="shared" si="1"/>
        <v>Reorder</v>
      </c>
    </row>
    <row r="19" spans="1:8" ht="15" x14ac:dyDescent="0.25">
      <c r="A19" s="60"/>
      <c r="B19" s="3" t="s">
        <v>29</v>
      </c>
      <c r="C19" s="2">
        <v>150</v>
      </c>
      <c r="D19" s="2">
        <v>190</v>
      </c>
      <c r="E19" s="2">
        <v>7</v>
      </c>
      <c r="F19" s="2">
        <v>2</v>
      </c>
      <c r="G19" s="2">
        <f t="shared" si="0"/>
        <v>5</v>
      </c>
      <c r="H19" s="2" t="str">
        <f t="shared" si="1"/>
        <v>Reorder</v>
      </c>
    </row>
    <row r="20" spans="1:8" ht="15" x14ac:dyDescent="0.25">
      <c r="A20" s="60"/>
      <c r="B20" s="3" t="s">
        <v>800</v>
      </c>
      <c r="C20" s="2">
        <v>170</v>
      </c>
      <c r="D20" s="2">
        <v>200</v>
      </c>
      <c r="E20" s="2">
        <v>2</v>
      </c>
      <c r="F20" s="2">
        <v>0</v>
      </c>
      <c r="G20" s="2">
        <f t="shared" si="0"/>
        <v>2</v>
      </c>
      <c r="H20" s="2" t="str">
        <f t="shared" si="1"/>
        <v>Reorder</v>
      </c>
    </row>
    <row r="21" spans="1:8" ht="15" x14ac:dyDescent="0.25">
      <c r="A21" s="60"/>
      <c r="B21" s="3" t="s">
        <v>30</v>
      </c>
      <c r="C21" s="2">
        <v>170</v>
      </c>
      <c r="D21" s="2">
        <v>200</v>
      </c>
      <c r="E21" s="2">
        <v>4</v>
      </c>
      <c r="F21" s="2">
        <v>2</v>
      </c>
      <c r="G21" s="2">
        <f t="shared" si="0"/>
        <v>2</v>
      </c>
      <c r="H21" s="2" t="str">
        <f t="shared" si="1"/>
        <v>Reorder</v>
      </c>
    </row>
    <row r="22" spans="1:8" ht="15" customHeight="1" x14ac:dyDescent="0.25">
      <c r="A22" s="58" t="s">
        <v>22</v>
      </c>
      <c r="B22" s="3" t="s">
        <v>51</v>
      </c>
      <c r="C22" s="2">
        <v>160</v>
      </c>
      <c r="D22" s="2">
        <v>200</v>
      </c>
      <c r="E22" s="2">
        <v>5</v>
      </c>
      <c r="F22" s="2">
        <v>0</v>
      </c>
      <c r="G22" s="2">
        <f t="shared" si="0"/>
        <v>5</v>
      </c>
      <c r="H22" s="2" t="str">
        <f t="shared" si="1"/>
        <v>Reorder</v>
      </c>
    </row>
    <row r="23" spans="1:8" ht="15" customHeight="1" x14ac:dyDescent="0.25">
      <c r="A23" s="63"/>
      <c r="B23" s="3" t="s">
        <v>183</v>
      </c>
      <c r="C23" s="2">
        <v>180</v>
      </c>
      <c r="D23" s="2">
        <v>235</v>
      </c>
      <c r="E23" s="2">
        <v>5</v>
      </c>
      <c r="F23" s="2">
        <v>1</v>
      </c>
      <c r="G23" s="2">
        <f t="shared" si="0"/>
        <v>4</v>
      </c>
      <c r="H23" s="2" t="str">
        <f t="shared" si="1"/>
        <v>Reorder</v>
      </c>
    </row>
    <row r="24" spans="1:8" ht="15" customHeight="1" x14ac:dyDescent="0.25">
      <c r="A24" s="59"/>
      <c r="B24" s="3" t="s">
        <v>25</v>
      </c>
      <c r="C24" s="2">
        <v>190</v>
      </c>
      <c r="D24" s="2">
        <v>235</v>
      </c>
      <c r="E24" s="2">
        <v>6</v>
      </c>
      <c r="F24" s="2">
        <v>3</v>
      </c>
      <c r="G24" s="2">
        <f t="shared" si="0"/>
        <v>3</v>
      </c>
      <c r="H24" s="2" t="str">
        <f t="shared" si="1"/>
        <v>Reorder</v>
      </c>
    </row>
    <row r="25" spans="1:8" ht="15" x14ac:dyDescent="0.25">
      <c r="A25" s="60" t="s">
        <v>40</v>
      </c>
      <c r="B25" s="3" t="s">
        <v>963</v>
      </c>
      <c r="C25" s="2">
        <v>145</v>
      </c>
      <c r="D25" s="2">
        <v>180</v>
      </c>
      <c r="E25" s="2">
        <v>20</v>
      </c>
      <c r="F25" s="2">
        <v>5</v>
      </c>
      <c r="G25" s="2">
        <f t="shared" si="0"/>
        <v>15</v>
      </c>
      <c r="H25" s="2" t="str">
        <f t="shared" si="1"/>
        <v>Available</v>
      </c>
    </row>
    <row r="26" spans="1:8" ht="15" x14ac:dyDescent="0.25">
      <c r="A26" s="60"/>
      <c r="B26" s="3" t="s">
        <v>35</v>
      </c>
      <c r="C26" s="2">
        <v>145</v>
      </c>
      <c r="D26" s="2">
        <v>180</v>
      </c>
      <c r="E26" s="2">
        <v>17</v>
      </c>
      <c r="F26" s="2">
        <v>0</v>
      </c>
      <c r="G26" s="2">
        <f t="shared" si="0"/>
        <v>17</v>
      </c>
      <c r="H26" s="2" t="str">
        <f t="shared" si="1"/>
        <v>Available</v>
      </c>
    </row>
    <row r="27" spans="1:8" ht="15" x14ac:dyDescent="0.25">
      <c r="A27" s="60"/>
      <c r="B27" s="3" t="s">
        <v>576</v>
      </c>
      <c r="C27" s="2">
        <v>150</v>
      </c>
      <c r="D27" s="2">
        <v>185</v>
      </c>
      <c r="E27" s="2">
        <v>5</v>
      </c>
      <c r="F27" s="2">
        <v>2</v>
      </c>
      <c r="G27" s="2">
        <f t="shared" si="0"/>
        <v>3</v>
      </c>
      <c r="H27" s="2" t="str">
        <f t="shared" si="1"/>
        <v>Reorder</v>
      </c>
    </row>
    <row r="28" spans="1:8" ht="15" x14ac:dyDescent="0.25">
      <c r="A28" s="60"/>
      <c r="B28" s="3" t="s">
        <v>34</v>
      </c>
      <c r="C28" s="2">
        <v>200</v>
      </c>
      <c r="D28" s="2">
        <v>250</v>
      </c>
      <c r="E28" s="2">
        <v>7</v>
      </c>
      <c r="F28" s="2">
        <v>2</v>
      </c>
      <c r="G28" s="2">
        <f t="shared" si="0"/>
        <v>5</v>
      </c>
      <c r="H28" s="2" t="str">
        <f t="shared" si="1"/>
        <v>Reorder</v>
      </c>
    </row>
    <row r="29" spans="1:8" ht="15" customHeight="1" x14ac:dyDescent="0.25">
      <c r="A29" s="5" t="s">
        <v>37</v>
      </c>
      <c r="B29" s="3" t="s">
        <v>185</v>
      </c>
      <c r="C29" s="2">
        <v>180</v>
      </c>
      <c r="D29" s="2">
        <v>240</v>
      </c>
      <c r="E29" s="2">
        <v>6</v>
      </c>
      <c r="F29" s="2">
        <v>0</v>
      </c>
      <c r="G29" s="2">
        <f t="shared" si="0"/>
        <v>6</v>
      </c>
      <c r="H29" s="2" t="str">
        <f t="shared" si="1"/>
        <v>Available</v>
      </c>
    </row>
    <row r="30" spans="1:8" ht="15" customHeight="1" x14ac:dyDescent="0.25">
      <c r="A30" s="9" t="s">
        <v>38</v>
      </c>
      <c r="B30" s="3" t="s">
        <v>39</v>
      </c>
      <c r="C30" s="2">
        <v>230</v>
      </c>
      <c r="D30" s="2">
        <v>250</v>
      </c>
      <c r="E30" s="2">
        <v>6</v>
      </c>
      <c r="F30" s="2">
        <v>2</v>
      </c>
      <c r="G30" s="2">
        <f t="shared" si="0"/>
        <v>4</v>
      </c>
      <c r="H30" s="2" t="str">
        <f t="shared" si="1"/>
        <v>Reorder</v>
      </c>
    </row>
  </sheetData>
  <mergeCells count="6">
    <mergeCell ref="A25:A28"/>
    <mergeCell ref="A1:F1"/>
    <mergeCell ref="A3:A11"/>
    <mergeCell ref="A12:A15"/>
    <mergeCell ref="A16:A21"/>
    <mergeCell ref="A22:A24"/>
  </mergeCells>
  <conditionalFormatting sqref="A25:F30 A1:F22 B23:F24">
    <cfRule type="expression" dxfId="553" priority="2">
      <formula>ROW()=CELL(ROW)</formula>
    </cfRule>
  </conditionalFormatting>
  <conditionalFormatting sqref="H1:H1048576">
    <cfRule type="containsText" dxfId="552" priority="1" operator="containsText" text="Reorder">
      <formula>NOT(ISERROR(SEARCH("Reorder",H1)))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9"/>
  <sheetViews>
    <sheetView workbookViewId="0">
      <selection activeCell="B18" sqref="B18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3.42578125" style="16" customWidth="1"/>
    <col min="5" max="5" width="9.140625" style="2"/>
    <col min="6" max="6" width="17.28515625" style="2" customWidth="1"/>
    <col min="7" max="7" width="11.42578125" style="2" customWidth="1"/>
    <col min="8" max="16384" width="9.140625" style="3"/>
  </cols>
  <sheetData>
    <row r="1" spans="1:7" ht="44.25" customHeight="1" x14ac:dyDescent="0.5">
      <c r="A1" s="73" t="s">
        <v>186</v>
      </c>
      <c r="B1" s="62"/>
      <c r="C1" s="62"/>
      <c r="D1" s="62"/>
    </row>
    <row r="2" spans="1:7" s="6" customFormat="1" ht="61.5" customHeight="1" x14ac:dyDescent="0.25">
      <c r="A2" s="4" t="s">
        <v>65</v>
      </c>
      <c r="B2" s="5" t="s">
        <v>60</v>
      </c>
      <c r="C2" s="5" t="s">
        <v>62</v>
      </c>
      <c r="D2" s="5" t="s">
        <v>634</v>
      </c>
      <c r="E2" s="5" t="s">
        <v>635</v>
      </c>
      <c r="F2" s="5" t="s">
        <v>641</v>
      </c>
      <c r="G2" s="7" t="s">
        <v>642</v>
      </c>
    </row>
    <row r="3" spans="1:7" ht="15" customHeight="1" x14ac:dyDescent="0.25">
      <c r="A3" s="2" t="s">
        <v>17</v>
      </c>
      <c r="B3" s="2">
        <v>130</v>
      </c>
      <c r="C3" s="2">
        <v>150</v>
      </c>
      <c r="D3" s="16">
        <v>10</v>
      </c>
      <c r="E3" s="2">
        <v>3</v>
      </c>
      <c r="F3" s="2">
        <f>D3-E3</f>
        <v>7</v>
      </c>
      <c r="G3" s="2" t="str">
        <f>IF(F3&lt;=1,"Reorder","Available")</f>
        <v>Available</v>
      </c>
    </row>
    <row r="4" spans="1:7" ht="15" customHeight="1" x14ac:dyDescent="0.25">
      <c r="A4" s="7" t="s">
        <v>187</v>
      </c>
      <c r="B4" s="2">
        <v>100</v>
      </c>
      <c r="C4" s="2">
        <v>150</v>
      </c>
      <c r="D4" s="16">
        <v>2</v>
      </c>
      <c r="E4" s="2">
        <v>0</v>
      </c>
      <c r="F4" s="2">
        <f t="shared" ref="F4:F10" si="0">D4-E4</f>
        <v>2</v>
      </c>
      <c r="G4" s="2" t="str">
        <f t="shared" ref="G4:G9" si="1">IF(F4&lt;=1,"Reorder","Available")</f>
        <v>Available</v>
      </c>
    </row>
    <row r="5" spans="1:7" ht="15" customHeight="1" x14ac:dyDescent="0.25">
      <c r="A5" s="7" t="s">
        <v>29</v>
      </c>
      <c r="B5" s="2">
        <v>115</v>
      </c>
      <c r="C5" s="2">
        <v>150</v>
      </c>
      <c r="D5" s="16">
        <v>4</v>
      </c>
      <c r="E5" s="2">
        <v>1</v>
      </c>
      <c r="F5" s="2">
        <f t="shared" si="0"/>
        <v>3</v>
      </c>
      <c r="G5" s="2" t="str">
        <f>IF(F5&lt;=1,"Reorder","Available")</f>
        <v>Available</v>
      </c>
    </row>
    <row r="6" spans="1:7" ht="15" customHeight="1" x14ac:dyDescent="0.25">
      <c r="A6" s="7" t="s">
        <v>12</v>
      </c>
      <c r="B6" s="2">
        <v>120</v>
      </c>
      <c r="C6" s="2">
        <v>150</v>
      </c>
      <c r="D6" s="16">
        <v>9</v>
      </c>
      <c r="E6" s="2">
        <v>2</v>
      </c>
      <c r="F6" s="2">
        <f t="shared" si="0"/>
        <v>7</v>
      </c>
      <c r="G6" s="2" t="str">
        <f t="shared" si="1"/>
        <v>Available</v>
      </c>
    </row>
    <row r="7" spans="1:7" ht="15" customHeight="1" x14ac:dyDescent="0.25">
      <c r="A7" s="7" t="s">
        <v>654</v>
      </c>
      <c r="B7" s="2">
        <v>220</v>
      </c>
      <c r="C7" s="2">
        <v>280</v>
      </c>
      <c r="D7" s="16">
        <v>3</v>
      </c>
      <c r="E7" s="2">
        <v>3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7" t="s">
        <v>48</v>
      </c>
      <c r="B8" s="2">
        <v>160</v>
      </c>
      <c r="C8" s="2">
        <v>200</v>
      </c>
      <c r="D8" s="16">
        <v>13</v>
      </c>
      <c r="E8" s="2">
        <v>9</v>
      </c>
      <c r="F8" s="2">
        <v>9</v>
      </c>
      <c r="G8" s="2" t="str">
        <f t="shared" si="1"/>
        <v>Available</v>
      </c>
    </row>
    <row r="9" spans="1:7" ht="15" customHeight="1" x14ac:dyDescent="0.25">
      <c r="A9" s="7" t="s">
        <v>188</v>
      </c>
      <c r="B9" s="2">
        <v>100</v>
      </c>
      <c r="C9" s="2">
        <v>150</v>
      </c>
      <c r="D9" s="16">
        <v>3</v>
      </c>
      <c r="E9" s="2">
        <v>0</v>
      </c>
      <c r="F9" s="2">
        <f t="shared" si="0"/>
        <v>3</v>
      </c>
      <c r="G9" s="2" t="str">
        <f t="shared" si="1"/>
        <v>Available</v>
      </c>
    </row>
    <row r="10" spans="1:7" ht="15" customHeight="1" x14ac:dyDescent="0.25">
      <c r="A10" s="7" t="s">
        <v>189</v>
      </c>
      <c r="B10" s="2">
        <v>130</v>
      </c>
      <c r="C10" s="2">
        <v>150</v>
      </c>
      <c r="D10" s="16">
        <v>12</v>
      </c>
      <c r="E10" s="2">
        <v>8</v>
      </c>
      <c r="F10" s="2">
        <f t="shared" si="0"/>
        <v>4</v>
      </c>
      <c r="G10" s="2" t="str">
        <f>IF(F10&lt;=1,"Reorder","Available")</f>
        <v>Available</v>
      </c>
    </row>
    <row r="13" spans="1:7" ht="44.25" customHeight="1" x14ac:dyDescent="0.5">
      <c r="A13" s="73" t="s">
        <v>190</v>
      </c>
      <c r="B13" s="62"/>
      <c r="C13" s="62"/>
      <c r="D13" s="62"/>
    </row>
    <row r="14" spans="1:7" s="6" customFormat="1" ht="61.5" customHeight="1" x14ac:dyDescent="0.25">
      <c r="A14" s="4" t="s">
        <v>65</v>
      </c>
      <c r="B14" s="5" t="s">
        <v>60</v>
      </c>
      <c r="C14" s="5" t="s">
        <v>62</v>
      </c>
      <c r="D14" s="5" t="s">
        <v>634</v>
      </c>
      <c r="E14" s="5" t="s">
        <v>635</v>
      </c>
      <c r="F14" s="5" t="s">
        <v>641</v>
      </c>
      <c r="G14" s="7" t="s">
        <v>642</v>
      </c>
    </row>
    <row r="15" spans="1:7" x14ac:dyDescent="0.25">
      <c r="A15" s="2" t="s">
        <v>191</v>
      </c>
      <c r="B15" s="2">
        <v>110</v>
      </c>
      <c r="C15" s="2">
        <v>150</v>
      </c>
      <c r="D15" s="16">
        <v>10</v>
      </c>
      <c r="E15" s="2">
        <v>3</v>
      </c>
      <c r="F15" s="2">
        <f>D15-E15</f>
        <v>7</v>
      </c>
      <c r="G15" s="2" t="str">
        <f>IF(F15&lt;=3,"Reorder","Available")</f>
        <v>Available</v>
      </c>
    </row>
    <row r="16" spans="1:7" x14ac:dyDescent="0.25">
      <c r="A16" s="2" t="s">
        <v>195</v>
      </c>
      <c r="B16" s="2">
        <v>110</v>
      </c>
      <c r="C16" s="2">
        <v>150</v>
      </c>
      <c r="D16" s="16">
        <v>13</v>
      </c>
      <c r="E16" s="2">
        <v>1</v>
      </c>
      <c r="F16" s="2">
        <f t="shared" ref="F16:F24" si="2">D16-E16</f>
        <v>12</v>
      </c>
      <c r="G16" s="2" t="str">
        <f t="shared" ref="G16:G24" si="3">IF(F16&lt;=3,"Reorder","Available")</f>
        <v>Available</v>
      </c>
    </row>
    <row r="17" spans="1:7" x14ac:dyDescent="0.25">
      <c r="A17" s="2" t="s">
        <v>192</v>
      </c>
      <c r="B17" s="2">
        <v>220</v>
      </c>
      <c r="C17" s="2">
        <v>250</v>
      </c>
      <c r="D17" s="16">
        <v>19</v>
      </c>
      <c r="E17" s="2">
        <v>2</v>
      </c>
      <c r="F17" s="2">
        <f t="shared" si="2"/>
        <v>17</v>
      </c>
      <c r="G17" s="2" t="str">
        <f t="shared" si="3"/>
        <v>Available</v>
      </c>
    </row>
    <row r="18" spans="1:7" x14ac:dyDescent="0.25">
      <c r="A18" s="2" t="s">
        <v>1082</v>
      </c>
      <c r="B18" s="2">
        <v>200</v>
      </c>
      <c r="C18" s="2">
        <v>250</v>
      </c>
      <c r="D18" s="16">
        <v>5</v>
      </c>
      <c r="E18" s="2">
        <v>1</v>
      </c>
      <c r="F18" s="2">
        <f>D18-E18</f>
        <v>4</v>
      </c>
      <c r="G18" s="2" t="str">
        <f t="shared" si="3"/>
        <v>Available</v>
      </c>
    </row>
    <row r="19" spans="1:7" x14ac:dyDescent="0.25">
      <c r="A19" s="2" t="s">
        <v>193</v>
      </c>
      <c r="B19" s="2">
        <v>120</v>
      </c>
      <c r="C19" s="2">
        <v>170</v>
      </c>
      <c r="D19" s="16">
        <v>8</v>
      </c>
      <c r="E19" s="2">
        <v>0</v>
      </c>
      <c r="F19" s="2">
        <f t="shared" si="2"/>
        <v>8</v>
      </c>
      <c r="G19" s="2" t="str">
        <f t="shared" si="3"/>
        <v>Available</v>
      </c>
    </row>
    <row r="20" spans="1:7" ht="15" customHeight="1" x14ac:dyDescent="0.25">
      <c r="A20" s="2" t="s">
        <v>194</v>
      </c>
      <c r="B20" s="2">
        <v>155</v>
      </c>
      <c r="C20" s="2">
        <v>205</v>
      </c>
      <c r="D20" s="16">
        <v>9</v>
      </c>
      <c r="E20" s="2">
        <v>1</v>
      </c>
      <c r="F20" s="2">
        <f t="shared" si="2"/>
        <v>8</v>
      </c>
      <c r="G20" s="2" t="str">
        <f t="shared" si="3"/>
        <v>Available</v>
      </c>
    </row>
    <row r="21" spans="1:7" x14ac:dyDescent="0.25">
      <c r="A21" s="2" t="s">
        <v>12</v>
      </c>
      <c r="B21" s="2">
        <v>110</v>
      </c>
      <c r="C21" s="2">
        <v>160</v>
      </c>
      <c r="D21" s="16">
        <v>5</v>
      </c>
      <c r="E21" s="2">
        <v>1</v>
      </c>
      <c r="F21" s="2">
        <f t="shared" si="2"/>
        <v>4</v>
      </c>
      <c r="G21" s="2" t="str">
        <f t="shared" si="3"/>
        <v>Available</v>
      </c>
    </row>
    <row r="22" spans="1:7" x14ac:dyDescent="0.25">
      <c r="A22" s="2" t="s">
        <v>118</v>
      </c>
      <c r="B22" s="2">
        <v>120</v>
      </c>
      <c r="C22" s="2">
        <v>180</v>
      </c>
      <c r="D22" s="16">
        <v>10</v>
      </c>
      <c r="E22" s="2">
        <v>4</v>
      </c>
      <c r="F22" s="2">
        <f t="shared" si="2"/>
        <v>6</v>
      </c>
      <c r="G22" s="2" t="str">
        <f t="shared" si="3"/>
        <v>Available</v>
      </c>
    </row>
    <row r="23" spans="1:7" x14ac:dyDescent="0.25">
      <c r="A23" s="2" t="s">
        <v>111</v>
      </c>
      <c r="B23" s="2">
        <v>100</v>
      </c>
      <c r="C23" s="2">
        <v>150</v>
      </c>
      <c r="D23" s="16">
        <v>16</v>
      </c>
      <c r="E23" s="2">
        <v>6</v>
      </c>
      <c r="F23" s="2">
        <f t="shared" si="2"/>
        <v>10</v>
      </c>
      <c r="G23" s="2" t="str">
        <f t="shared" si="3"/>
        <v>Available</v>
      </c>
    </row>
    <row r="24" spans="1:7" x14ac:dyDescent="0.25">
      <c r="A24" s="2" t="s">
        <v>196</v>
      </c>
      <c r="B24" s="2">
        <v>100</v>
      </c>
      <c r="C24" s="2">
        <v>150</v>
      </c>
      <c r="D24" s="16">
        <v>11</v>
      </c>
      <c r="E24" s="2">
        <v>5</v>
      </c>
      <c r="F24" s="2">
        <f t="shared" si="2"/>
        <v>6</v>
      </c>
      <c r="G24" s="2" t="str">
        <f t="shared" si="3"/>
        <v>Available</v>
      </c>
    </row>
    <row r="26" spans="1:7" ht="15" customHeight="1" x14ac:dyDescent="0.25">
      <c r="A26" s="3"/>
      <c r="B26" s="3"/>
      <c r="C26" s="3"/>
      <c r="D26" s="3"/>
      <c r="E26" s="3"/>
      <c r="F26" s="3"/>
      <c r="G26" s="3"/>
    </row>
    <row r="27" spans="1:7" s="6" customFormat="1" ht="15" customHeight="1" x14ac:dyDescent="0.25"/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</sheetData>
  <mergeCells count="2">
    <mergeCell ref="A1:D1"/>
    <mergeCell ref="A13:D13"/>
  </mergeCells>
  <conditionalFormatting sqref="C17:C25 A2:C12 A15:A16 B15:B25 A1:D1 A13:D13 D2:E2">
    <cfRule type="expression" dxfId="551" priority="11">
      <formula>ROW()=CELL(ROW)</formula>
    </cfRule>
  </conditionalFormatting>
  <conditionalFormatting sqref="A14:C14">
    <cfRule type="expression" dxfId="550" priority="10">
      <formula>ROW()=CELL(ROW)</formula>
    </cfRule>
  </conditionalFormatting>
  <conditionalFormatting sqref="G2">
    <cfRule type="containsText" dxfId="549" priority="7" operator="containsText" text="Reorder">
      <formula>NOT(ISERROR(SEARCH("Reorder",G2)))</formula>
    </cfRule>
  </conditionalFormatting>
  <conditionalFormatting sqref="D14:E14">
    <cfRule type="expression" dxfId="548" priority="6">
      <formula>ROW()=CELL(ROW)</formula>
    </cfRule>
  </conditionalFormatting>
  <conditionalFormatting sqref="G14">
    <cfRule type="containsText" dxfId="547" priority="5" operator="containsText" text="Reorder">
      <formula>NOT(ISERROR(SEARCH("Reorder",G14)))</formula>
    </cfRule>
  </conditionalFormatting>
  <conditionalFormatting sqref="G40:G1048576 G1:G25">
    <cfRule type="containsText" dxfId="546" priority="4" operator="containsText" text="Reorder">
      <formula>NOT(ISERROR(SEARCH("Reorder",G1)))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3"/>
  <sheetViews>
    <sheetView zoomScaleNormal="100" workbookViewId="0">
      <selection sqref="A1:E1"/>
    </sheetView>
  </sheetViews>
  <sheetFormatPr defaultRowHeight="26.25" x14ac:dyDescent="0.25"/>
  <cols>
    <col min="1" max="1" width="30.28515625" style="2" customWidth="1"/>
    <col min="2" max="2" width="18.85546875" style="16" customWidth="1"/>
    <col min="3" max="3" width="18.5703125" style="2" customWidth="1"/>
    <col min="4" max="4" width="17.5703125" style="2" customWidth="1"/>
    <col min="5" max="5" width="13.42578125" style="2" customWidth="1"/>
    <col min="6" max="6" width="16.28515625" style="9" customWidth="1"/>
    <col min="7" max="7" width="12.42578125" style="9" customWidth="1"/>
    <col min="8" max="16384" width="9.140625" style="3"/>
  </cols>
  <sheetData>
    <row r="1" spans="1:11" ht="44.25" customHeight="1" x14ac:dyDescent="0.5">
      <c r="A1" s="73" t="s">
        <v>197</v>
      </c>
      <c r="B1" s="62"/>
      <c r="C1" s="62"/>
      <c r="D1" s="62"/>
      <c r="E1" s="62"/>
      <c r="K1" s="3" t="s">
        <v>1</v>
      </c>
    </row>
    <row r="2" spans="1:11" s="6" customFormat="1" ht="61.5" customHeight="1" x14ac:dyDescent="0.25">
      <c r="A2" s="4" t="s">
        <v>65</v>
      </c>
      <c r="B2" s="5" t="s">
        <v>60</v>
      </c>
      <c r="C2" s="5" t="s">
        <v>62</v>
      </c>
      <c r="D2" s="5" t="s">
        <v>634</v>
      </c>
      <c r="E2" s="5" t="s">
        <v>635</v>
      </c>
      <c r="F2" s="5" t="s">
        <v>641</v>
      </c>
      <c r="G2" s="5" t="s">
        <v>638</v>
      </c>
    </row>
    <row r="3" spans="1:11" ht="15" customHeight="1" x14ac:dyDescent="0.25">
      <c r="A3" s="2" t="s">
        <v>646</v>
      </c>
      <c r="B3" s="2">
        <v>280</v>
      </c>
      <c r="C3" s="2">
        <v>320</v>
      </c>
      <c r="D3" s="2">
        <v>6</v>
      </c>
      <c r="E3" s="2">
        <v>6</v>
      </c>
      <c r="F3" s="2">
        <f>D3-E3</f>
        <v>0</v>
      </c>
      <c r="G3" s="2" t="str">
        <f>IF(F3&lt;=2,"Reorder","Available")</f>
        <v>Reorder</v>
      </c>
    </row>
    <row r="4" spans="1:11" ht="15" customHeight="1" x14ac:dyDescent="0.25">
      <c r="A4" s="2" t="s">
        <v>1080</v>
      </c>
      <c r="B4" s="2">
        <v>240</v>
      </c>
      <c r="C4" s="2">
        <v>300</v>
      </c>
      <c r="D4" s="2">
        <v>10</v>
      </c>
      <c r="E4" s="2">
        <v>2</v>
      </c>
      <c r="F4" s="2">
        <f>D4-E4</f>
        <v>8</v>
      </c>
      <c r="G4" s="2" t="str">
        <f>IF(F4&lt;=2,"Reorder","Available")</f>
        <v>Available</v>
      </c>
    </row>
    <row r="5" spans="1:11" ht="15" x14ac:dyDescent="0.25">
      <c r="A5" s="2" t="s">
        <v>17</v>
      </c>
      <c r="B5" s="2">
        <v>250</v>
      </c>
      <c r="C5" s="2">
        <v>300</v>
      </c>
      <c r="D5" s="2">
        <v>3</v>
      </c>
      <c r="E5" s="2">
        <v>0</v>
      </c>
      <c r="F5" s="2">
        <f t="shared" ref="F5" si="0">D5-E5</f>
        <v>3</v>
      </c>
      <c r="G5" s="2" t="str">
        <f t="shared" ref="G5" si="1">IF(F5&lt;=2,"Reorder","Available")</f>
        <v>Available</v>
      </c>
    </row>
    <row r="6" spans="1:11" ht="44.25" customHeight="1" x14ac:dyDescent="0.5">
      <c r="A6" s="73" t="s">
        <v>198</v>
      </c>
      <c r="B6" s="62"/>
      <c r="C6" s="62"/>
      <c r="D6" s="62"/>
      <c r="E6" s="62"/>
    </row>
    <row r="7" spans="1:11" s="6" customFormat="1" ht="61.5" customHeight="1" x14ac:dyDescent="0.25">
      <c r="A7" s="4" t="s">
        <v>65</v>
      </c>
      <c r="B7" s="5" t="s">
        <v>60</v>
      </c>
      <c r="C7" s="5" t="s">
        <v>62</v>
      </c>
      <c r="D7" s="5" t="s">
        <v>634</v>
      </c>
      <c r="E7" s="5" t="s">
        <v>635</v>
      </c>
      <c r="F7" s="5" t="s">
        <v>641</v>
      </c>
      <c r="G7" s="5" t="s">
        <v>638</v>
      </c>
    </row>
    <row r="8" spans="1:11" ht="15" x14ac:dyDescent="0.25">
      <c r="A8" s="2" t="s">
        <v>199</v>
      </c>
      <c r="B8" s="2">
        <v>2015</v>
      </c>
      <c r="C8" s="2">
        <v>2250</v>
      </c>
      <c r="D8" s="2">
        <v>0</v>
      </c>
      <c r="E8" s="2">
        <v>0</v>
      </c>
      <c r="F8" s="2">
        <f>D8-E8</f>
        <v>0</v>
      </c>
      <c r="G8" s="2" t="str">
        <f>IF(I8&lt;=0,"Reorder","Available")</f>
        <v>Reorder</v>
      </c>
    </row>
    <row r="9" spans="1:11" ht="15" x14ac:dyDescent="0.25">
      <c r="A9" s="2" t="s">
        <v>1008</v>
      </c>
      <c r="B9" s="2">
        <v>1420</v>
      </c>
      <c r="C9" s="2">
        <v>1650</v>
      </c>
      <c r="D9" s="2">
        <v>1</v>
      </c>
      <c r="E9" s="2">
        <v>0</v>
      </c>
      <c r="F9" s="2">
        <f>D9-E9</f>
        <v>1</v>
      </c>
      <c r="G9" s="2" t="str">
        <f>IF(I9&lt;=0,"Reorder","Available")</f>
        <v>Reorder</v>
      </c>
    </row>
    <row r="10" spans="1:11" ht="15" x14ac:dyDescent="0.25">
      <c r="A10" s="2" t="s">
        <v>872</v>
      </c>
      <c r="B10" s="2">
        <v>1550</v>
      </c>
      <c r="C10" s="2">
        <v>1800</v>
      </c>
      <c r="D10" s="2">
        <v>1</v>
      </c>
      <c r="E10" s="2">
        <v>0</v>
      </c>
      <c r="F10" s="2">
        <f t="shared" ref="F10:F13" si="2">D10-E10</f>
        <v>1</v>
      </c>
      <c r="G10" s="2" t="str">
        <f t="shared" ref="G10:G13" si="3">IF(I10&lt;=0,"Reorder","Available")</f>
        <v>Reorder</v>
      </c>
    </row>
    <row r="11" spans="1:11" ht="15" x14ac:dyDescent="0.25">
      <c r="A11" s="2" t="s">
        <v>820</v>
      </c>
      <c r="B11" s="2">
        <v>1950</v>
      </c>
      <c r="C11" s="2">
        <v>2250</v>
      </c>
      <c r="D11" s="2">
        <v>1</v>
      </c>
      <c r="E11" s="2">
        <v>0</v>
      </c>
      <c r="F11" s="2">
        <f t="shared" si="2"/>
        <v>1</v>
      </c>
      <c r="G11" s="2" t="str">
        <f>IF(I11&lt;=0,"Reorder","Available")</f>
        <v>Reorder</v>
      </c>
    </row>
    <row r="12" spans="1:11" ht="15" x14ac:dyDescent="0.25">
      <c r="A12" s="2" t="s">
        <v>200</v>
      </c>
      <c r="B12" s="16">
        <v>1620</v>
      </c>
      <c r="C12" s="2">
        <v>1850</v>
      </c>
      <c r="D12" s="2">
        <v>0</v>
      </c>
      <c r="E12" s="2">
        <v>0</v>
      </c>
      <c r="F12" s="2">
        <f t="shared" si="2"/>
        <v>0</v>
      </c>
      <c r="G12" s="2" t="str">
        <f t="shared" si="3"/>
        <v>Reorder</v>
      </c>
    </row>
    <row r="13" spans="1:11" ht="15" x14ac:dyDescent="0.25">
      <c r="A13" s="2" t="s">
        <v>201</v>
      </c>
      <c r="B13" s="16">
        <v>1500</v>
      </c>
      <c r="C13" s="2">
        <v>1750</v>
      </c>
      <c r="D13" s="2">
        <v>0</v>
      </c>
      <c r="E13" s="2">
        <v>0</v>
      </c>
      <c r="F13" s="2">
        <f t="shared" si="2"/>
        <v>0</v>
      </c>
      <c r="G13" s="2" t="str">
        <f t="shared" si="3"/>
        <v>Reorder</v>
      </c>
    </row>
  </sheetData>
  <mergeCells count="2">
    <mergeCell ref="A1:E1"/>
    <mergeCell ref="A6:E6"/>
  </mergeCells>
  <conditionalFormatting sqref="A2:D2 C8:C12 B8:B11 A1:E1 A3:C5">
    <cfRule type="expression" dxfId="545" priority="5">
      <formula>ROW()=CELL(ROW)</formula>
    </cfRule>
  </conditionalFormatting>
  <conditionalFormatting sqref="A6:E6 A7:D7">
    <cfRule type="expression" dxfId="544" priority="4">
      <formula>ROW()=CELL(ROW)</formula>
    </cfRule>
  </conditionalFormatting>
  <conditionalFormatting sqref="G1:G1048576">
    <cfRule type="containsText" dxfId="543" priority="3" operator="containsText" text="Reorder ">
      <formula>NOT(ISERROR(SEARCH("Reorder ",G1)))</formula>
    </cfRule>
  </conditionalFormatting>
  <conditionalFormatting sqref="G3:G5">
    <cfRule type="containsText" dxfId="542" priority="2" operator="containsText" text="Reorder">
      <formula>NOT(ISERROR(SEARCH("Reorder",G3)))</formula>
    </cfRule>
  </conditionalFormatting>
  <conditionalFormatting sqref="G8:G13">
    <cfRule type="containsText" dxfId="541" priority="1" operator="containsText" text="Reorder">
      <formula>NOT(ISERROR(SEARCH("Reorder",G8)))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selection activeCell="C16" sqref="C16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2.5703125" style="2" customWidth="1"/>
    <col min="5" max="5" width="9.28515625" style="2" customWidth="1"/>
    <col min="6" max="6" width="16.5703125" style="2" customWidth="1"/>
    <col min="7" max="7" width="12.42578125" style="2" customWidth="1"/>
    <col min="8" max="16384" width="9.140625" style="3"/>
  </cols>
  <sheetData>
    <row r="1" spans="1:7" x14ac:dyDescent="0.25">
      <c r="A1" s="2">
        <v>6</v>
      </c>
    </row>
    <row r="2" spans="1:7" ht="44.25" customHeight="1" x14ac:dyDescent="0.25">
      <c r="A2" s="71" t="s">
        <v>202</v>
      </c>
      <c r="B2" s="72"/>
      <c r="C2" s="72"/>
      <c r="D2" s="72"/>
      <c r="E2" s="72"/>
    </row>
    <row r="3" spans="1:7" s="6" customFormat="1" ht="61.5" customHeight="1" x14ac:dyDescent="0.25">
      <c r="A3" s="4" t="s">
        <v>65</v>
      </c>
      <c r="B3" s="5" t="s">
        <v>60</v>
      </c>
      <c r="C3" s="5" t="s">
        <v>62</v>
      </c>
      <c r="D3" s="5" t="s">
        <v>634</v>
      </c>
      <c r="E3" s="5" t="s">
        <v>635</v>
      </c>
      <c r="F3" s="5" t="s">
        <v>641</v>
      </c>
      <c r="G3" s="5" t="s">
        <v>638</v>
      </c>
    </row>
    <row r="4" spans="1:7" ht="15" customHeight="1" x14ac:dyDescent="0.25">
      <c r="A4" s="2" t="s">
        <v>203</v>
      </c>
      <c r="B4" s="2">
        <v>100</v>
      </c>
      <c r="C4" s="2">
        <v>130</v>
      </c>
      <c r="D4" s="2">
        <v>15</v>
      </c>
      <c r="E4" s="2">
        <v>2</v>
      </c>
      <c r="F4" s="2">
        <f>D4-E4</f>
        <v>13</v>
      </c>
      <c r="G4" s="2" t="str">
        <f>IF(F4&lt;=3,"Reorder","Available")</f>
        <v>Available</v>
      </c>
    </row>
    <row r="5" spans="1:7" ht="15" customHeight="1" x14ac:dyDescent="0.25">
      <c r="A5" s="7" t="s">
        <v>204</v>
      </c>
      <c r="B5" s="2">
        <v>70</v>
      </c>
      <c r="C5" s="2">
        <v>130</v>
      </c>
      <c r="D5" s="2">
        <v>6</v>
      </c>
      <c r="E5" s="2">
        <v>5</v>
      </c>
      <c r="F5" s="2">
        <f t="shared" ref="F5:F15" si="0">D5-E5</f>
        <v>1</v>
      </c>
      <c r="G5" s="2" t="str">
        <f t="shared" ref="G5:G15" si="1">IF(F5&lt;=3,"Reorder","Available")</f>
        <v>Reorder</v>
      </c>
    </row>
    <row r="6" spans="1:7" ht="15" customHeight="1" x14ac:dyDescent="0.25">
      <c r="A6" s="7" t="s">
        <v>111</v>
      </c>
      <c r="B6" s="2">
        <v>80</v>
      </c>
      <c r="C6" s="2">
        <v>130</v>
      </c>
      <c r="D6" s="2">
        <v>15</v>
      </c>
      <c r="E6" s="2">
        <v>5</v>
      </c>
      <c r="F6" s="2">
        <f t="shared" si="0"/>
        <v>10</v>
      </c>
      <c r="G6" s="2" t="str">
        <f t="shared" si="1"/>
        <v>Available</v>
      </c>
    </row>
    <row r="7" spans="1:7" ht="15" customHeight="1" x14ac:dyDescent="0.25">
      <c r="A7" s="7" t="s">
        <v>205</v>
      </c>
      <c r="B7" s="2">
        <v>100</v>
      </c>
      <c r="C7" s="2">
        <v>130</v>
      </c>
      <c r="D7" s="2">
        <v>13</v>
      </c>
      <c r="E7" s="2">
        <v>0</v>
      </c>
      <c r="F7" s="2">
        <f t="shared" si="0"/>
        <v>13</v>
      </c>
      <c r="G7" s="2" t="str">
        <f t="shared" si="1"/>
        <v>Available</v>
      </c>
    </row>
    <row r="8" spans="1:7" ht="15" customHeight="1" x14ac:dyDescent="0.25">
      <c r="A8" s="7" t="s">
        <v>39</v>
      </c>
      <c r="B8" s="2">
        <v>100</v>
      </c>
      <c r="C8" s="2">
        <v>130</v>
      </c>
      <c r="D8" s="2">
        <v>6</v>
      </c>
      <c r="E8" s="2">
        <v>4</v>
      </c>
      <c r="F8" s="2">
        <f t="shared" si="0"/>
        <v>2</v>
      </c>
      <c r="G8" s="2" t="str">
        <f t="shared" si="1"/>
        <v>Reorder</v>
      </c>
    </row>
    <row r="9" spans="1:7" ht="15" customHeight="1" x14ac:dyDescent="0.25">
      <c r="A9" s="7" t="s">
        <v>206</v>
      </c>
      <c r="B9" s="2">
        <v>100</v>
      </c>
      <c r="C9" s="2">
        <v>130</v>
      </c>
      <c r="D9" s="2">
        <v>12</v>
      </c>
      <c r="E9" s="2">
        <v>8</v>
      </c>
      <c r="F9" s="2">
        <f t="shared" si="0"/>
        <v>4</v>
      </c>
      <c r="G9" s="2" t="str">
        <f t="shared" si="1"/>
        <v>Available</v>
      </c>
    </row>
    <row r="10" spans="1:7" ht="15" customHeight="1" x14ac:dyDescent="0.25">
      <c r="A10" s="7" t="s">
        <v>12</v>
      </c>
      <c r="B10" s="2">
        <v>100</v>
      </c>
      <c r="C10" s="2">
        <v>130</v>
      </c>
      <c r="D10" s="2">
        <v>14</v>
      </c>
      <c r="E10" s="2">
        <v>14</v>
      </c>
      <c r="F10" s="2">
        <f t="shared" si="0"/>
        <v>0</v>
      </c>
      <c r="G10" s="2" t="str">
        <f t="shared" si="1"/>
        <v>Reorder</v>
      </c>
    </row>
    <row r="11" spans="1:7" ht="15" customHeight="1" x14ac:dyDescent="0.25">
      <c r="A11" s="7" t="s">
        <v>207</v>
      </c>
      <c r="B11" s="2">
        <v>130</v>
      </c>
      <c r="C11" s="2">
        <v>155</v>
      </c>
      <c r="D11" s="2">
        <v>7</v>
      </c>
      <c r="E11" s="2">
        <v>1</v>
      </c>
      <c r="F11" s="2">
        <f t="shared" si="0"/>
        <v>6</v>
      </c>
      <c r="G11" s="2" t="str">
        <f t="shared" si="1"/>
        <v>Available</v>
      </c>
    </row>
    <row r="12" spans="1:7" x14ac:dyDescent="0.25">
      <c r="A12" s="2" t="s">
        <v>208</v>
      </c>
      <c r="B12" s="2">
        <v>110</v>
      </c>
      <c r="C12" s="2">
        <v>155</v>
      </c>
      <c r="D12" s="2">
        <v>8</v>
      </c>
      <c r="E12" s="2">
        <v>4</v>
      </c>
      <c r="F12" s="2">
        <f t="shared" si="0"/>
        <v>4</v>
      </c>
      <c r="G12" s="2" t="str">
        <f t="shared" si="1"/>
        <v>Available</v>
      </c>
    </row>
    <row r="13" spans="1:7" x14ac:dyDescent="0.25">
      <c r="A13" s="2" t="s">
        <v>209</v>
      </c>
      <c r="B13" s="2">
        <v>100</v>
      </c>
      <c r="C13" s="2">
        <v>130</v>
      </c>
      <c r="D13" s="2">
        <v>20</v>
      </c>
      <c r="E13" s="2">
        <v>20</v>
      </c>
      <c r="F13" s="2">
        <f t="shared" si="0"/>
        <v>0</v>
      </c>
      <c r="G13" s="2" t="str">
        <f t="shared" si="1"/>
        <v>Reorder</v>
      </c>
    </row>
    <row r="14" spans="1:7" x14ac:dyDescent="0.25">
      <c r="A14" s="2" t="s">
        <v>118</v>
      </c>
      <c r="B14" s="2">
        <v>105</v>
      </c>
      <c r="C14" s="2">
        <v>135</v>
      </c>
      <c r="D14" s="2">
        <v>7</v>
      </c>
      <c r="E14" s="2">
        <v>4</v>
      </c>
      <c r="F14" s="2">
        <f t="shared" si="0"/>
        <v>3</v>
      </c>
      <c r="G14" s="2" t="str">
        <f t="shared" si="1"/>
        <v>Reorder</v>
      </c>
    </row>
    <row r="15" spans="1:7" x14ac:dyDescent="0.25">
      <c r="A15" s="2" t="s">
        <v>210</v>
      </c>
      <c r="B15" s="2">
        <v>140</v>
      </c>
      <c r="C15" s="2">
        <v>185</v>
      </c>
      <c r="D15" s="2">
        <v>5</v>
      </c>
      <c r="E15" s="2">
        <v>4</v>
      </c>
      <c r="F15" s="2">
        <f t="shared" si="0"/>
        <v>1</v>
      </c>
      <c r="G15" s="2" t="str">
        <f t="shared" si="1"/>
        <v>Reorder</v>
      </c>
    </row>
    <row r="19" ht="15" customHeight="1" x14ac:dyDescent="0.25"/>
  </sheetData>
  <mergeCells count="1">
    <mergeCell ref="A2:E2"/>
  </mergeCells>
  <conditionalFormatting sqref="C12:C15 A1:E2 C17:C27 B12:B26 A5:A16 A3:C4 B5:C11">
    <cfRule type="expression" dxfId="540" priority="4">
      <formula>ROW()=CELL(ROW)</formula>
    </cfRule>
  </conditionalFormatting>
  <conditionalFormatting sqref="D3">
    <cfRule type="expression" dxfId="539" priority="3">
      <formula>ROW()=CELL(ROW)</formula>
    </cfRule>
  </conditionalFormatting>
  <conditionalFormatting sqref="G3">
    <cfRule type="containsText" dxfId="538" priority="2" operator="containsText" text="Reorder ">
      <formula>NOT(ISERROR(SEARCH("Reorder ",G3)))</formula>
    </cfRule>
  </conditionalFormatting>
  <conditionalFormatting sqref="G4:G15">
    <cfRule type="containsText" dxfId="537" priority="1" operator="containsText" text="Reorder">
      <formula>NOT(ISERROR(SEARCH("Reorder",G4)))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8"/>
  <sheetViews>
    <sheetView zoomScale="70" zoomScaleNormal="70" workbookViewId="0">
      <selection sqref="A1:E1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1.42578125" style="2" customWidth="1"/>
    <col min="5" max="5" width="11.28515625" style="2" customWidth="1"/>
    <col min="6" max="6" width="17.5703125" style="2" customWidth="1"/>
    <col min="7" max="7" width="11.5703125" style="2" customWidth="1"/>
    <col min="8" max="16384" width="9.140625" style="2"/>
  </cols>
  <sheetData>
    <row r="1" spans="1:7" ht="44.25" customHeight="1" x14ac:dyDescent="0.25">
      <c r="A1" s="71" t="s">
        <v>211</v>
      </c>
      <c r="B1" s="72"/>
      <c r="C1" s="72"/>
      <c r="D1" s="72"/>
      <c r="E1" s="72"/>
    </row>
    <row r="2" spans="1:7" s="7" customFormat="1" ht="61.5" customHeight="1" x14ac:dyDescent="0.25">
      <c r="A2" s="4" t="s">
        <v>65</v>
      </c>
      <c r="B2" s="5" t="s">
        <v>60</v>
      </c>
      <c r="C2" s="5" t="s">
        <v>62</v>
      </c>
      <c r="D2" s="5" t="s">
        <v>634</v>
      </c>
      <c r="E2" s="5" t="s">
        <v>635</v>
      </c>
      <c r="F2" s="5" t="s">
        <v>641</v>
      </c>
      <c r="G2" s="5" t="s">
        <v>638</v>
      </c>
    </row>
    <row r="3" spans="1:7" ht="15" customHeight="1" x14ac:dyDescent="0.25">
      <c r="A3" s="2" t="s">
        <v>17</v>
      </c>
      <c r="B3" s="2">
        <v>540</v>
      </c>
      <c r="C3" s="2">
        <v>650</v>
      </c>
      <c r="D3" s="2">
        <v>2</v>
      </c>
      <c r="E3" s="2">
        <v>0</v>
      </c>
      <c r="F3" s="2">
        <f>D3-E3</f>
        <v>2</v>
      </c>
      <c r="G3" s="2" t="str">
        <f>IF(F3&lt;=1,"Reorder","Available")</f>
        <v>Available</v>
      </c>
    </row>
    <row r="4" spans="1:7" ht="15" customHeight="1" x14ac:dyDescent="0.25">
      <c r="A4" s="7" t="s">
        <v>5</v>
      </c>
      <c r="B4" s="2">
        <v>570</v>
      </c>
      <c r="C4" s="2">
        <v>680</v>
      </c>
      <c r="D4" s="2">
        <v>2</v>
      </c>
      <c r="E4" s="2">
        <v>0</v>
      </c>
      <c r="F4" s="2">
        <f t="shared" ref="F4:F8" si="0">D4-E4</f>
        <v>2</v>
      </c>
      <c r="G4" s="2" t="str">
        <f t="shared" ref="G4:G8" si="1">IF(F4&lt;=1,"Reorder","Available")</f>
        <v>Available</v>
      </c>
    </row>
    <row r="5" spans="1:7" ht="15" customHeight="1" x14ac:dyDescent="0.25">
      <c r="A5" s="7" t="s">
        <v>151</v>
      </c>
      <c r="B5" s="2">
        <v>495</v>
      </c>
      <c r="C5" s="2">
        <v>550</v>
      </c>
      <c r="D5" s="2">
        <v>6</v>
      </c>
      <c r="E5" s="2">
        <v>0</v>
      </c>
      <c r="F5" s="2">
        <f t="shared" si="0"/>
        <v>6</v>
      </c>
      <c r="G5" s="2" t="str">
        <f t="shared" si="1"/>
        <v>Available</v>
      </c>
    </row>
    <row r="6" spans="1:7" ht="15" customHeight="1" x14ac:dyDescent="0.25">
      <c r="A6" s="7" t="s">
        <v>212</v>
      </c>
      <c r="B6" s="2">
        <v>545</v>
      </c>
      <c r="C6" s="2">
        <v>650</v>
      </c>
      <c r="D6" s="2">
        <v>0</v>
      </c>
      <c r="E6" s="2">
        <v>0</v>
      </c>
      <c r="F6" s="2">
        <f t="shared" si="0"/>
        <v>0</v>
      </c>
      <c r="G6" s="2" t="str">
        <f t="shared" si="1"/>
        <v>Reorder</v>
      </c>
    </row>
    <row r="7" spans="1:7" ht="15" customHeight="1" x14ac:dyDescent="0.25">
      <c r="A7" s="7" t="s">
        <v>6</v>
      </c>
      <c r="B7" s="2">
        <v>545</v>
      </c>
      <c r="C7" s="2">
        <v>650</v>
      </c>
      <c r="D7" s="2">
        <v>2</v>
      </c>
      <c r="E7" s="2">
        <v>0</v>
      </c>
      <c r="F7" s="2">
        <f t="shared" si="0"/>
        <v>2</v>
      </c>
      <c r="G7" s="2" t="str">
        <f t="shared" si="1"/>
        <v>Available</v>
      </c>
    </row>
    <row r="8" spans="1:7" ht="15" customHeight="1" x14ac:dyDescent="0.25">
      <c r="A8" s="7" t="s">
        <v>939</v>
      </c>
      <c r="B8" s="2">
        <v>545</v>
      </c>
      <c r="C8" s="2">
        <v>650</v>
      </c>
      <c r="D8" s="2">
        <v>2</v>
      </c>
      <c r="E8" s="2">
        <v>2</v>
      </c>
      <c r="F8" s="2">
        <f t="shared" si="0"/>
        <v>0</v>
      </c>
      <c r="G8" s="2" t="str">
        <f t="shared" si="1"/>
        <v>Reorder</v>
      </c>
    </row>
    <row r="9" spans="1:7" ht="15" customHeight="1" x14ac:dyDescent="0.25">
      <c r="A9" s="7"/>
    </row>
    <row r="10" spans="1:7" ht="15" customHeight="1" x14ac:dyDescent="0.25">
      <c r="A10" s="7"/>
    </row>
    <row r="18" ht="15" customHeight="1" x14ac:dyDescent="0.25"/>
  </sheetData>
  <mergeCells count="1">
    <mergeCell ref="A1:E1"/>
  </mergeCells>
  <conditionalFormatting sqref="C11:C14 C16:C26 B11:B25 A4:A15 A2:C3 B4:C10 A1:E1">
    <cfRule type="expression" dxfId="536" priority="4">
      <formula>ROW()=CELL(ROW)</formula>
    </cfRule>
  </conditionalFormatting>
  <conditionalFormatting sqref="D2">
    <cfRule type="expression" dxfId="535" priority="3">
      <formula>ROW()=CELL(ROW)</formula>
    </cfRule>
  </conditionalFormatting>
  <conditionalFormatting sqref="G2">
    <cfRule type="containsText" dxfId="534" priority="2" operator="containsText" text="Reorder ">
      <formula>NOT(ISERROR(SEARCH("Reorder ",G2)))</formula>
    </cfRule>
  </conditionalFormatting>
  <conditionalFormatting sqref="G3:G8">
    <cfRule type="containsText" dxfId="533" priority="1" operator="containsText" text="Reorder">
      <formula>NOT(ISERROR(SEARCH("Reorder",G3)))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workbookViewId="0">
      <selection sqref="A1:E1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2.85546875" style="2" customWidth="1"/>
    <col min="5" max="5" width="11" style="16" customWidth="1"/>
    <col min="6" max="6" width="18.28515625" style="2" customWidth="1"/>
    <col min="7" max="7" width="12" style="2" customWidth="1"/>
    <col min="8" max="16384" width="9.140625" style="3"/>
  </cols>
  <sheetData>
    <row r="1" spans="1:7" ht="44.25" customHeight="1" x14ac:dyDescent="0.25">
      <c r="A1" s="71" t="s">
        <v>219</v>
      </c>
      <c r="B1" s="72"/>
      <c r="C1" s="72"/>
      <c r="D1" s="72"/>
      <c r="E1" s="72"/>
    </row>
    <row r="2" spans="1:7" s="6" customFormat="1" ht="61.5" customHeight="1" x14ac:dyDescent="0.25">
      <c r="A2" s="4" t="s">
        <v>65</v>
      </c>
      <c r="B2" s="5" t="s">
        <v>60</v>
      </c>
      <c r="C2" s="5" t="s">
        <v>62</v>
      </c>
      <c r="D2" s="5" t="s">
        <v>634</v>
      </c>
      <c r="E2" s="5" t="s">
        <v>635</v>
      </c>
      <c r="F2" s="5" t="s">
        <v>641</v>
      </c>
      <c r="G2" s="5" t="s">
        <v>638</v>
      </c>
    </row>
    <row r="3" spans="1:7" ht="15" customHeight="1" x14ac:dyDescent="0.25">
      <c r="A3" s="7" t="s">
        <v>220</v>
      </c>
      <c r="B3" s="2">
        <v>1005</v>
      </c>
      <c r="C3" s="2">
        <v>1300</v>
      </c>
      <c r="D3" s="2">
        <v>3</v>
      </c>
      <c r="E3" s="16">
        <v>1</v>
      </c>
      <c r="F3" s="2">
        <f>D3-E3</f>
        <v>2</v>
      </c>
      <c r="G3" s="2" t="str">
        <f>IF(F3&lt;=0,"Reorder","Available")</f>
        <v>Available</v>
      </c>
    </row>
    <row r="4" spans="1:7" ht="15" customHeight="1" x14ac:dyDescent="0.25">
      <c r="A4" s="7" t="s">
        <v>221</v>
      </c>
      <c r="B4" s="2">
        <v>1555</v>
      </c>
      <c r="C4" s="2">
        <v>1705</v>
      </c>
      <c r="D4" s="2">
        <v>1</v>
      </c>
      <c r="E4" s="16">
        <v>1</v>
      </c>
      <c r="F4" s="2">
        <f t="shared" ref="F4:F8" si="0">D4-E4</f>
        <v>0</v>
      </c>
      <c r="G4" s="2" t="str">
        <f t="shared" ref="G4:G8" si="1">IF(F4&lt;=0,"Reorder","Available")</f>
        <v>Reorder</v>
      </c>
    </row>
    <row r="5" spans="1:7" ht="15" customHeight="1" x14ac:dyDescent="0.25">
      <c r="A5" s="7" t="s">
        <v>179</v>
      </c>
      <c r="B5" s="2">
        <v>1050</v>
      </c>
      <c r="C5" s="2">
        <v>1305</v>
      </c>
      <c r="D5" s="2">
        <v>1</v>
      </c>
      <c r="E5" s="16">
        <v>0</v>
      </c>
      <c r="F5" s="2">
        <f t="shared" si="0"/>
        <v>1</v>
      </c>
      <c r="G5" s="2" t="str">
        <f t="shared" si="1"/>
        <v>Available</v>
      </c>
    </row>
    <row r="6" spans="1:7" ht="15" customHeight="1" x14ac:dyDescent="0.25">
      <c r="A6" s="7" t="s">
        <v>116</v>
      </c>
      <c r="B6" s="2">
        <v>1005</v>
      </c>
      <c r="C6" s="2">
        <v>1305</v>
      </c>
      <c r="D6" s="2">
        <v>1</v>
      </c>
      <c r="E6" s="16">
        <v>0</v>
      </c>
      <c r="F6" s="2">
        <f t="shared" si="0"/>
        <v>1</v>
      </c>
      <c r="G6" s="2" t="str">
        <f t="shared" si="1"/>
        <v>Available</v>
      </c>
    </row>
    <row r="7" spans="1:7" ht="15" customHeight="1" x14ac:dyDescent="0.25">
      <c r="A7" s="7" t="s">
        <v>17</v>
      </c>
      <c r="B7" s="2">
        <v>990</v>
      </c>
      <c r="C7" s="2">
        <v>1300</v>
      </c>
      <c r="D7" s="2">
        <v>2</v>
      </c>
      <c r="E7" s="16">
        <v>1</v>
      </c>
      <c r="F7" s="2">
        <f t="shared" si="0"/>
        <v>1</v>
      </c>
      <c r="G7" s="2" t="str">
        <f t="shared" si="1"/>
        <v>Available</v>
      </c>
    </row>
    <row r="8" spans="1:7" ht="15" customHeight="1" x14ac:dyDescent="0.25">
      <c r="A8" s="7" t="s">
        <v>118</v>
      </c>
      <c r="B8" s="2">
        <v>1305</v>
      </c>
      <c r="C8" s="2">
        <v>1500</v>
      </c>
      <c r="D8" s="2">
        <v>1</v>
      </c>
      <c r="E8" s="16">
        <v>0</v>
      </c>
      <c r="F8" s="2">
        <f t="shared" si="0"/>
        <v>1</v>
      </c>
      <c r="G8" s="2" t="str">
        <f t="shared" si="1"/>
        <v>Available</v>
      </c>
    </row>
    <row r="9" spans="1:7" ht="15" customHeight="1" x14ac:dyDescent="0.25">
      <c r="A9" s="7"/>
    </row>
    <row r="17" ht="15" customHeight="1" x14ac:dyDescent="0.25"/>
  </sheetData>
  <mergeCells count="1">
    <mergeCell ref="A1:E1"/>
  </mergeCells>
  <conditionalFormatting sqref="C10:C13 C15:C25 B10:B24 A3:A14 A2:C2 B3:C9 A1:E1">
    <cfRule type="expression" dxfId="532" priority="4">
      <formula>ROW()=CELL(ROW)</formula>
    </cfRule>
  </conditionalFormatting>
  <conditionalFormatting sqref="D2">
    <cfRule type="expression" dxfId="531" priority="3">
      <formula>ROW()=CELL(ROW)</formula>
    </cfRule>
  </conditionalFormatting>
  <conditionalFormatting sqref="G2">
    <cfRule type="containsText" dxfId="530" priority="2" operator="containsText" text="Reorder ">
      <formula>NOT(ISERROR(SEARCH("Reorder ",G2)))</formula>
    </cfRule>
  </conditionalFormatting>
  <conditionalFormatting sqref="G3:G8">
    <cfRule type="containsText" dxfId="529" priority="1" operator="containsText" text="Reorder">
      <formula>NOT(ISERROR(SEARCH("Reorder",G3)))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G18"/>
  <sheetViews>
    <sheetView workbookViewId="0">
      <selection activeCell="E7" sqref="E7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2.28515625" style="2" customWidth="1"/>
    <col min="5" max="5" width="11" style="2" customWidth="1"/>
    <col min="6" max="6" width="17.85546875" style="2" customWidth="1"/>
    <col min="7" max="7" width="12.28515625" style="2" customWidth="1"/>
    <col min="8" max="16384" width="9.140625" style="3"/>
  </cols>
  <sheetData>
    <row r="2" spans="1:7" ht="44.25" customHeight="1" x14ac:dyDescent="0.25">
      <c r="A2" s="71" t="s">
        <v>213</v>
      </c>
      <c r="B2" s="72"/>
      <c r="C2" s="72"/>
      <c r="D2" s="72"/>
      <c r="E2" s="72"/>
    </row>
    <row r="3" spans="1:7" s="6" customFormat="1" ht="61.5" customHeight="1" x14ac:dyDescent="0.25">
      <c r="A3" s="4" t="s">
        <v>65</v>
      </c>
      <c r="B3" s="5" t="s">
        <v>60</v>
      </c>
      <c r="C3" s="5" t="s">
        <v>62</v>
      </c>
      <c r="D3" s="5" t="s">
        <v>634</v>
      </c>
      <c r="E3" s="5" t="s">
        <v>635</v>
      </c>
      <c r="F3" s="5" t="s">
        <v>641</v>
      </c>
      <c r="G3" s="5" t="s">
        <v>638</v>
      </c>
    </row>
    <row r="4" spans="1:7" ht="15" customHeight="1" x14ac:dyDescent="0.25">
      <c r="A4" s="7" t="s">
        <v>214</v>
      </c>
      <c r="B4" s="2">
        <v>1000</v>
      </c>
      <c r="C4" s="2">
        <v>1305</v>
      </c>
      <c r="D4" s="2">
        <v>2</v>
      </c>
      <c r="E4" s="2">
        <v>0</v>
      </c>
      <c r="F4" s="2">
        <f>D4-E4</f>
        <v>2</v>
      </c>
      <c r="G4" s="2" t="str">
        <f>IF(F4&lt;=0,"Reorder","Available")</f>
        <v>Available</v>
      </c>
    </row>
    <row r="5" spans="1:7" ht="15" customHeight="1" x14ac:dyDescent="0.25">
      <c r="A5" s="7" t="s">
        <v>215</v>
      </c>
      <c r="B5" s="2">
        <v>1000</v>
      </c>
      <c r="C5" s="2">
        <v>1305</v>
      </c>
      <c r="D5" s="2">
        <v>1</v>
      </c>
      <c r="E5" s="2">
        <v>0</v>
      </c>
      <c r="F5" s="2">
        <f t="shared" ref="F5:F12" si="0">D5-E5</f>
        <v>1</v>
      </c>
      <c r="G5" s="2" t="str">
        <f t="shared" ref="G5:G12" si="1">IF(F5&lt;=0,"Reorder","Available")</f>
        <v>Available</v>
      </c>
    </row>
    <row r="6" spans="1:7" ht="15" customHeight="1" x14ac:dyDescent="0.25">
      <c r="A6" s="7" t="s">
        <v>216</v>
      </c>
      <c r="B6" s="2">
        <v>1000</v>
      </c>
      <c r="C6" s="2">
        <v>1305</v>
      </c>
      <c r="D6" s="2">
        <v>3</v>
      </c>
      <c r="E6" s="2">
        <v>2</v>
      </c>
      <c r="F6" s="2">
        <f t="shared" si="0"/>
        <v>1</v>
      </c>
      <c r="G6" s="2" t="str">
        <f t="shared" si="1"/>
        <v>Available</v>
      </c>
    </row>
    <row r="7" spans="1:7" ht="15" customHeight="1" x14ac:dyDescent="0.25">
      <c r="A7" s="7" t="s">
        <v>217</v>
      </c>
      <c r="B7" s="2">
        <v>1000</v>
      </c>
      <c r="C7" s="2">
        <v>1305</v>
      </c>
      <c r="D7" s="2">
        <v>1</v>
      </c>
      <c r="E7" s="2">
        <v>0</v>
      </c>
      <c r="F7" s="2">
        <f t="shared" si="0"/>
        <v>1</v>
      </c>
      <c r="G7" s="2" t="str">
        <f t="shared" si="1"/>
        <v>Available</v>
      </c>
    </row>
    <row r="8" spans="1:7" ht="15" customHeight="1" x14ac:dyDescent="0.25">
      <c r="A8" s="7" t="s">
        <v>218</v>
      </c>
      <c r="B8" s="2">
        <v>1000</v>
      </c>
      <c r="C8" s="2">
        <v>1305</v>
      </c>
      <c r="D8" s="2">
        <v>2</v>
      </c>
      <c r="E8" s="2">
        <v>1</v>
      </c>
      <c r="F8" s="2">
        <f t="shared" si="0"/>
        <v>1</v>
      </c>
      <c r="G8" s="2" t="str">
        <f t="shared" si="1"/>
        <v>Available</v>
      </c>
    </row>
    <row r="9" spans="1:7" ht="15" customHeight="1" x14ac:dyDescent="0.25">
      <c r="A9" s="7" t="s">
        <v>951</v>
      </c>
      <c r="B9" s="2">
        <v>1000</v>
      </c>
      <c r="C9" s="2">
        <v>1305</v>
      </c>
      <c r="D9" s="2">
        <v>1</v>
      </c>
      <c r="E9" s="2">
        <v>1</v>
      </c>
      <c r="F9" s="2">
        <f t="shared" si="0"/>
        <v>0</v>
      </c>
      <c r="G9" s="2" t="str">
        <f t="shared" si="1"/>
        <v>Reorder</v>
      </c>
    </row>
    <row r="10" spans="1:7" ht="15" customHeight="1" x14ac:dyDescent="0.25">
      <c r="A10" s="7" t="s">
        <v>950</v>
      </c>
      <c r="B10" s="2">
        <v>1000</v>
      </c>
      <c r="C10" s="2">
        <v>1200</v>
      </c>
      <c r="D10" s="2">
        <v>2</v>
      </c>
      <c r="E10" s="2">
        <v>1</v>
      </c>
      <c r="F10" s="2">
        <f t="shared" si="0"/>
        <v>1</v>
      </c>
      <c r="G10" s="2" t="str">
        <f t="shared" si="1"/>
        <v>Available</v>
      </c>
    </row>
    <row r="11" spans="1:7" x14ac:dyDescent="0.25">
      <c r="A11" s="2" t="s">
        <v>952</v>
      </c>
      <c r="B11" s="2">
        <v>1000</v>
      </c>
      <c r="C11" s="2">
        <v>1200</v>
      </c>
      <c r="D11" s="2">
        <v>1</v>
      </c>
      <c r="E11" s="2">
        <v>1</v>
      </c>
      <c r="F11" s="2">
        <f t="shared" si="0"/>
        <v>0</v>
      </c>
      <c r="G11" s="2" t="str">
        <f t="shared" si="1"/>
        <v>Reorder</v>
      </c>
    </row>
    <row r="12" spans="1:7" x14ac:dyDescent="0.25">
      <c r="A12" s="2" t="s">
        <v>953</v>
      </c>
      <c r="B12" s="2">
        <v>1000</v>
      </c>
      <c r="C12" s="2">
        <v>1200</v>
      </c>
      <c r="D12" s="2">
        <v>1</v>
      </c>
      <c r="E12" s="2">
        <v>1</v>
      </c>
      <c r="F12" s="2">
        <f t="shared" si="0"/>
        <v>0</v>
      </c>
      <c r="G12" s="2" t="str">
        <f t="shared" si="1"/>
        <v>Reorder</v>
      </c>
    </row>
    <row r="18" ht="15" customHeight="1" x14ac:dyDescent="0.25"/>
  </sheetData>
  <mergeCells count="1">
    <mergeCell ref="A2:E2"/>
  </mergeCells>
  <conditionalFormatting sqref="A1:E2 C16:C26 A4:A15 A3:C3 B4:C4 B5:B25 C5:C14">
    <cfRule type="expression" dxfId="528" priority="4">
      <formula>ROW()=CELL(ROW)</formula>
    </cfRule>
  </conditionalFormatting>
  <conditionalFormatting sqref="D3">
    <cfRule type="expression" dxfId="527" priority="3">
      <formula>ROW()=CELL(ROW)</formula>
    </cfRule>
  </conditionalFormatting>
  <conditionalFormatting sqref="G3">
    <cfRule type="containsText" dxfId="526" priority="2" operator="containsText" text="Reorder ">
      <formula>NOT(ISERROR(SEARCH("Reorder ",G3)))</formula>
    </cfRule>
  </conditionalFormatting>
  <conditionalFormatting sqref="G4:G10">
    <cfRule type="containsText" dxfId="525" priority="1" operator="containsText" text="Reorder">
      <formula>NOT(ISERROR(SEARCH("Reorder",G4)))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/>
  </sheetViews>
  <sheetFormatPr defaultRowHeight="15" x14ac:dyDescent="0.25"/>
  <cols>
    <col min="1" max="1" width="21.140625" style="2" customWidth="1"/>
    <col min="2" max="2" width="30.28515625" style="2" customWidth="1"/>
    <col min="3" max="3" width="18.85546875" style="2" customWidth="1"/>
    <col min="4" max="4" width="18.5703125" style="2" customWidth="1"/>
    <col min="5" max="5" width="12.85546875" style="2" customWidth="1"/>
    <col min="6" max="6" width="13.42578125" style="2" customWidth="1"/>
    <col min="7" max="7" width="18.42578125" style="2" customWidth="1"/>
    <col min="8" max="8" width="11.42578125" style="2" customWidth="1"/>
    <col min="9" max="16384" width="9.140625" style="2"/>
  </cols>
  <sheetData>
    <row r="1" spans="1:8" x14ac:dyDescent="0.25">
      <c r="A1" s="2">
        <v>2</v>
      </c>
    </row>
    <row r="2" spans="1:8" ht="44.25" customHeight="1" x14ac:dyDescent="0.25">
      <c r="B2" s="71" t="s">
        <v>222</v>
      </c>
      <c r="C2" s="72"/>
      <c r="D2" s="72"/>
      <c r="E2" s="72"/>
      <c r="F2" s="72"/>
    </row>
    <row r="3" spans="1:8" s="7" customFormat="1" ht="61.5" customHeight="1" x14ac:dyDescent="0.25">
      <c r="A3" s="5" t="s">
        <v>149</v>
      </c>
      <c r="B3" s="4" t="s">
        <v>65</v>
      </c>
      <c r="C3" s="5" t="s">
        <v>60</v>
      </c>
      <c r="D3" s="5" t="s">
        <v>62</v>
      </c>
      <c r="E3" s="5" t="s">
        <v>634</v>
      </c>
      <c r="F3" s="5" t="s">
        <v>635</v>
      </c>
      <c r="G3" s="5" t="s">
        <v>641</v>
      </c>
      <c r="H3" s="5" t="s">
        <v>638</v>
      </c>
    </row>
    <row r="4" spans="1:8" ht="15" customHeight="1" x14ac:dyDescent="0.25">
      <c r="A4" s="76" t="s">
        <v>790</v>
      </c>
      <c r="B4" s="7" t="s">
        <v>608</v>
      </c>
      <c r="C4" s="2">
        <v>1050</v>
      </c>
      <c r="D4" s="2">
        <v>1150</v>
      </c>
      <c r="E4" s="2">
        <v>2</v>
      </c>
      <c r="F4" s="2">
        <v>0</v>
      </c>
      <c r="G4" s="2">
        <f>E4-F4</f>
        <v>2</v>
      </c>
      <c r="H4" s="2" t="str">
        <f>IF(G4&lt;=0,"Reorder","Available")</f>
        <v>Available</v>
      </c>
    </row>
    <row r="5" spans="1:8" ht="15" customHeight="1" x14ac:dyDescent="0.25">
      <c r="A5" s="85"/>
      <c r="B5" s="7" t="s">
        <v>609</v>
      </c>
      <c r="C5" s="2">
        <v>970</v>
      </c>
      <c r="D5" s="2">
        <v>1050</v>
      </c>
      <c r="E5" s="2">
        <v>3</v>
      </c>
      <c r="F5" s="2">
        <v>0</v>
      </c>
      <c r="G5" s="2">
        <f t="shared" ref="G5:G19" si="0">E5-F5</f>
        <v>3</v>
      </c>
      <c r="H5" s="2" t="str">
        <f t="shared" ref="H5" si="1">IF(G5&lt;=0,"Reorder","Available")</f>
        <v>Available</v>
      </c>
    </row>
    <row r="6" spans="1:8" ht="15" customHeight="1" x14ac:dyDescent="0.25">
      <c r="A6" s="85"/>
      <c r="B6" s="7" t="s">
        <v>610</v>
      </c>
      <c r="C6" s="2">
        <v>955</v>
      </c>
      <c r="D6" s="2">
        <v>1050</v>
      </c>
      <c r="E6" s="2">
        <v>2</v>
      </c>
      <c r="F6" s="2">
        <v>1</v>
      </c>
      <c r="G6" s="2">
        <f t="shared" si="0"/>
        <v>1</v>
      </c>
      <c r="H6" s="2" t="str">
        <f>IF(G6&lt;=0,"Reorder","Available")</f>
        <v>Available</v>
      </c>
    </row>
    <row r="7" spans="1:8" ht="15" customHeight="1" x14ac:dyDescent="0.25">
      <c r="A7" s="85"/>
      <c r="B7" s="7" t="s">
        <v>611</v>
      </c>
      <c r="C7" s="2">
        <v>1300</v>
      </c>
      <c r="D7" s="2">
        <v>1450</v>
      </c>
      <c r="E7" s="2">
        <v>2</v>
      </c>
      <c r="F7" s="2">
        <v>1</v>
      </c>
      <c r="G7" s="2">
        <f>E7-F7</f>
        <v>1</v>
      </c>
      <c r="H7" s="2" t="str">
        <f t="shared" ref="H7:H19" si="2">IF(G7&lt;=0,"Reorder","Available")</f>
        <v>Available</v>
      </c>
    </row>
    <row r="8" spans="1:8" ht="15" customHeight="1" x14ac:dyDescent="0.25">
      <c r="A8" s="85"/>
      <c r="B8" s="7">
        <v>630</v>
      </c>
      <c r="C8" s="2">
        <v>1150</v>
      </c>
      <c r="D8" s="2">
        <v>1250</v>
      </c>
      <c r="E8" s="2">
        <v>2</v>
      </c>
      <c r="F8" s="2">
        <v>1</v>
      </c>
      <c r="G8" s="2">
        <f t="shared" si="0"/>
        <v>1</v>
      </c>
      <c r="H8" s="2" t="str">
        <f t="shared" si="2"/>
        <v>Available</v>
      </c>
    </row>
    <row r="9" spans="1:8" ht="15" customHeight="1" x14ac:dyDescent="0.25">
      <c r="A9" s="85"/>
      <c r="B9" s="7" t="s">
        <v>612</v>
      </c>
      <c r="C9" s="2">
        <v>1310</v>
      </c>
      <c r="D9" s="2">
        <v>1450</v>
      </c>
      <c r="E9" s="2">
        <v>1</v>
      </c>
      <c r="F9" s="2">
        <v>1</v>
      </c>
      <c r="G9" s="2">
        <f t="shared" si="0"/>
        <v>0</v>
      </c>
      <c r="H9" s="2" t="str">
        <f t="shared" si="2"/>
        <v>Reorder</v>
      </c>
    </row>
    <row r="10" spans="1:8" x14ac:dyDescent="0.25">
      <c r="A10" s="86"/>
      <c r="B10" s="2">
        <v>629</v>
      </c>
      <c r="C10" s="2">
        <v>1140</v>
      </c>
      <c r="D10" s="2">
        <v>1250</v>
      </c>
      <c r="E10" s="2">
        <v>1</v>
      </c>
      <c r="F10" s="2">
        <v>0</v>
      </c>
      <c r="G10" s="2">
        <f t="shared" si="0"/>
        <v>1</v>
      </c>
      <c r="H10" s="2" t="str">
        <f t="shared" si="2"/>
        <v>Available</v>
      </c>
    </row>
    <row r="12" spans="1:8" x14ac:dyDescent="0.25">
      <c r="A12" s="76" t="s">
        <v>801</v>
      </c>
      <c r="B12" s="2" t="s">
        <v>919</v>
      </c>
      <c r="C12" s="2">
        <v>700</v>
      </c>
      <c r="D12" s="2">
        <v>950</v>
      </c>
      <c r="E12" s="2">
        <v>1</v>
      </c>
      <c r="F12" s="2">
        <v>0</v>
      </c>
      <c r="G12" s="2">
        <f t="shared" si="0"/>
        <v>1</v>
      </c>
      <c r="H12" s="2" t="str">
        <f t="shared" si="2"/>
        <v>Available</v>
      </c>
    </row>
    <row r="13" spans="1:8" x14ac:dyDescent="0.25">
      <c r="A13" s="77"/>
      <c r="B13" s="2" t="s">
        <v>1043</v>
      </c>
      <c r="C13" s="2">
        <v>740</v>
      </c>
      <c r="D13" s="2">
        <v>850</v>
      </c>
      <c r="E13" s="2">
        <v>1</v>
      </c>
      <c r="F13" s="2">
        <v>0</v>
      </c>
      <c r="G13" s="2">
        <f t="shared" si="0"/>
        <v>1</v>
      </c>
      <c r="H13" s="2" t="str">
        <f t="shared" si="2"/>
        <v>Available</v>
      </c>
    </row>
    <row r="14" spans="1:8" x14ac:dyDescent="0.25">
      <c r="A14" s="77"/>
      <c r="B14" s="2" t="s">
        <v>1044</v>
      </c>
      <c r="C14" s="2">
        <v>800</v>
      </c>
      <c r="D14" s="2">
        <v>920</v>
      </c>
      <c r="E14" s="2">
        <v>1</v>
      </c>
      <c r="F14" s="2">
        <v>0</v>
      </c>
      <c r="G14" s="2">
        <f t="shared" si="0"/>
        <v>1</v>
      </c>
      <c r="H14" s="2" t="str">
        <f t="shared" si="2"/>
        <v>Available</v>
      </c>
    </row>
    <row r="15" spans="1:8" x14ac:dyDescent="0.25">
      <c r="A15" s="77"/>
      <c r="B15" s="2" t="s">
        <v>1045</v>
      </c>
      <c r="C15" s="2">
        <v>980</v>
      </c>
      <c r="D15" s="2">
        <v>1050</v>
      </c>
      <c r="E15" s="2">
        <v>1</v>
      </c>
      <c r="F15" s="2">
        <v>0</v>
      </c>
      <c r="G15" s="2">
        <f t="shared" si="0"/>
        <v>1</v>
      </c>
      <c r="H15" s="2" t="str">
        <f t="shared" si="2"/>
        <v>Available</v>
      </c>
    </row>
    <row r="16" spans="1:8" x14ac:dyDescent="0.25">
      <c r="A16" s="86"/>
      <c r="B16" s="2" t="s">
        <v>920</v>
      </c>
      <c r="C16" s="2">
        <v>900</v>
      </c>
      <c r="D16" s="2">
        <v>1080</v>
      </c>
      <c r="E16" s="2">
        <v>1</v>
      </c>
      <c r="F16" s="2">
        <v>0</v>
      </c>
      <c r="G16" s="2">
        <f t="shared" si="0"/>
        <v>1</v>
      </c>
      <c r="H16" s="2" t="str">
        <f t="shared" si="2"/>
        <v>Available</v>
      </c>
    </row>
    <row r="18" spans="1:8" x14ac:dyDescent="0.25">
      <c r="A18" s="76" t="s">
        <v>55</v>
      </c>
      <c r="B18" s="2" t="s">
        <v>921</v>
      </c>
      <c r="C18" s="2">
        <v>820</v>
      </c>
      <c r="D18" s="2">
        <v>1000</v>
      </c>
      <c r="E18" s="2">
        <v>1</v>
      </c>
      <c r="F18" s="2">
        <v>0</v>
      </c>
      <c r="G18" s="2">
        <f t="shared" si="0"/>
        <v>1</v>
      </c>
      <c r="H18" s="2" t="str">
        <f t="shared" si="2"/>
        <v>Available</v>
      </c>
    </row>
    <row r="19" spans="1:8" x14ac:dyDescent="0.25">
      <c r="A19" s="86"/>
      <c r="B19" s="2" t="s">
        <v>922</v>
      </c>
      <c r="C19" s="2">
        <v>1250</v>
      </c>
      <c r="D19" s="2">
        <v>1450</v>
      </c>
      <c r="E19" s="2">
        <v>1</v>
      </c>
      <c r="F19" s="2">
        <v>0</v>
      </c>
      <c r="G19" s="2">
        <f t="shared" si="0"/>
        <v>1</v>
      </c>
      <c r="H19" s="2" t="str">
        <f t="shared" si="2"/>
        <v>Available</v>
      </c>
    </row>
    <row r="20" spans="1:8" ht="15" customHeight="1" x14ac:dyDescent="0.25"/>
  </sheetData>
  <mergeCells count="4">
    <mergeCell ref="B2:F2"/>
    <mergeCell ref="A4:A10"/>
    <mergeCell ref="A12:A16"/>
    <mergeCell ref="A18:A19"/>
  </mergeCells>
  <conditionalFormatting sqref="D10:D16 B1:F2 D18:D28 C10:C27 B3:D3 C4:D9 B4:B17">
    <cfRule type="expression" dxfId="524" priority="4">
      <formula>ROW()=CELL(ROW)</formula>
    </cfRule>
  </conditionalFormatting>
  <conditionalFormatting sqref="E3">
    <cfRule type="expression" dxfId="523" priority="3">
      <formula>ROW()=CELL(ROW)</formula>
    </cfRule>
  </conditionalFormatting>
  <conditionalFormatting sqref="H3">
    <cfRule type="containsText" dxfId="522" priority="2" operator="containsText" text="Reorder ">
      <formula>NOT(ISERROR(SEARCH("Reorder ",H3)))</formula>
    </cfRule>
  </conditionalFormatting>
  <conditionalFormatting sqref="H4:H19">
    <cfRule type="containsText" dxfId="521" priority="1" operator="containsText" text="Reorder">
      <formula>NOT(ISERROR(SEARCH("Reorder",H4)))</formula>
    </cfRule>
  </conditionalFormatting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I39"/>
  <sheetViews>
    <sheetView workbookViewId="0">
      <selection activeCell="G21" sqref="G21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7.140625" style="2" customWidth="1"/>
    <col min="5" max="5" width="15.85546875" style="2" customWidth="1"/>
    <col min="6" max="6" width="19.5703125" style="2" customWidth="1"/>
    <col min="7" max="7" width="12.140625" style="2" customWidth="1"/>
    <col min="8" max="16384" width="9.140625" style="3"/>
  </cols>
  <sheetData>
    <row r="2" spans="1:9" ht="44.25" customHeight="1" x14ac:dyDescent="0.25">
      <c r="A2" s="71" t="s">
        <v>223</v>
      </c>
      <c r="B2" s="72"/>
      <c r="C2" s="72"/>
      <c r="D2" s="72"/>
      <c r="E2" s="72"/>
    </row>
    <row r="3" spans="1:9" s="6" customFormat="1" ht="61.5" customHeight="1" x14ac:dyDescent="0.25">
      <c r="A3" s="4" t="s">
        <v>65</v>
      </c>
      <c r="B3" s="5" t="s">
        <v>224</v>
      </c>
      <c r="C3" s="5" t="s">
        <v>225</v>
      </c>
      <c r="D3" s="5" t="s">
        <v>680</v>
      </c>
      <c r="E3" s="5" t="s">
        <v>681</v>
      </c>
      <c r="F3" s="5" t="s">
        <v>682</v>
      </c>
      <c r="G3" s="5" t="s">
        <v>638</v>
      </c>
    </row>
    <row r="4" spans="1:9" ht="15" customHeight="1" x14ac:dyDescent="0.25">
      <c r="A4" s="7" t="s">
        <v>657</v>
      </c>
      <c r="B4" s="2">
        <v>180</v>
      </c>
      <c r="C4" s="2">
        <v>220</v>
      </c>
      <c r="D4" s="2">
        <v>8</v>
      </c>
      <c r="E4" s="2">
        <v>1</v>
      </c>
      <c r="F4" s="2">
        <f>D4-E4</f>
        <v>7</v>
      </c>
      <c r="G4" s="2" t="str">
        <f>IF(F4&lt;=2,"Reorder","Available")</f>
        <v>Available</v>
      </c>
    </row>
    <row r="5" spans="1:9" ht="15" customHeight="1" x14ac:dyDescent="0.25">
      <c r="A5" s="7" t="s">
        <v>658</v>
      </c>
      <c r="B5" s="2">
        <v>180</v>
      </c>
      <c r="C5" s="2">
        <v>220</v>
      </c>
      <c r="D5" s="2">
        <v>8</v>
      </c>
      <c r="E5" s="2">
        <v>2</v>
      </c>
      <c r="F5" s="2">
        <f>D5-E5</f>
        <v>6</v>
      </c>
      <c r="G5" s="2" t="str">
        <f>IF(F5&lt;=2,"Reorder","Available")</f>
        <v>Available</v>
      </c>
    </row>
    <row r="6" spans="1:9" ht="15" customHeight="1" x14ac:dyDescent="0.25">
      <c r="A6" s="7" t="s">
        <v>659</v>
      </c>
      <c r="B6" s="2">
        <v>180</v>
      </c>
      <c r="C6" s="2">
        <v>220</v>
      </c>
      <c r="D6" s="2">
        <v>10</v>
      </c>
      <c r="E6" s="2">
        <v>4</v>
      </c>
      <c r="F6" s="2">
        <f t="shared" ref="F6:F19" si="0">D6-E6</f>
        <v>6</v>
      </c>
      <c r="G6" s="2" t="str">
        <f t="shared" ref="G6:G39" si="1">IF(F6&lt;=2,"Reorder","Available")</f>
        <v>Available</v>
      </c>
    </row>
    <row r="7" spans="1:9" ht="15" customHeight="1" x14ac:dyDescent="0.25">
      <c r="A7" s="7" t="s">
        <v>660</v>
      </c>
      <c r="B7" s="2">
        <v>180</v>
      </c>
      <c r="C7" s="2">
        <v>220</v>
      </c>
      <c r="D7" s="2">
        <v>4</v>
      </c>
      <c r="E7" s="2">
        <v>4</v>
      </c>
      <c r="F7" s="2">
        <f t="shared" si="0"/>
        <v>0</v>
      </c>
      <c r="G7" s="2" t="str">
        <f t="shared" si="1"/>
        <v>Reorder</v>
      </c>
    </row>
    <row r="8" spans="1:9" ht="15" customHeight="1" x14ac:dyDescent="0.25">
      <c r="A8" s="7" t="s">
        <v>661</v>
      </c>
      <c r="B8" s="2">
        <v>180</v>
      </c>
      <c r="C8" s="2">
        <v>230</v>
      </c>
      <c r="D8" s="2">
        <v>5</v>
      </c>
      <c r="E8" s="2">
        <v>0</v>
      </c>
      <c r="F8" s="2">
        <f t="shared" si="0"/>
        <v>5</v>
      </c>
      <c r="G8" s="2" t="str">
        <f t="shared" si="1"/>
        <v>Available</v>
      </c>
      <c r="I8" s="2">
        <v>1</v>
      </c>
    </row>
    <row r="9" spans="1:9" ht="15" customHeight="1" x14ac:dyDescent="0.25">
      <c r="A9" s="7" t="s">
        <v>662</v>
      </c>
      <c r="B9" s="2">
        <v>180</v>
      </c>
      <c r="C9" s="2">
        <v>230</v>
      </c>
      <c r="D9" s="2">
        <v>5</v>
      </c>
      <c r="E9" s="2">
        <v>1</v>
      </c>
      <c r="F9" s="2">
        <f t="shared" si="0"/>
        <v>4</v>
      </c>
      <c r="G9" s="2" t="str">
        <f t="shared" si="1"/>
        <v>Available</v>
      </c>
    </row>
    <row r="10" spans="1:9" ht="15" customHeight="1" x14ac:dyDescent="0.25">
      <c r="A10" s="7" t="s">
        <v>663</v>
      </c>
      <c r="B10" s="2">
        <v>340</v>
      </c>
      <c r="C10" s="2">
        <v>380</v>
      </c>
      <c r="D10" s="2">
        <v>6</v>
      </c>
      <c r="E10" s="2">
        <v>2</v>
      </c>
      <c r="F10" s="2">
        <f t="shared" si="0"/>
        <v>4</v>
      </c>
      <c r="G10" s="2" t="str">
        <f t="shared" si="1"/>
        <v>Available</v>
      </c>
    </row>
    <row r="11" spans="1:9" ht="15" customHeight="1" x14ac:dyDescent="0.25">
      <c r="A11" s="7" t="s">
        <v>664</v>
      </c>
      <c r="B11" s="2">
        <v>340</v>
      </c>
      <c r="C11" s="2">
        <v>380</v>
      </c>
      <c r="D11" s="2">
        <v>18</v>
      </c>
      <c r="E11" s="2">
        <v>3</v>
      </c>
      <c r="F11" s="2">
        <f t="shared" si="0"/>
        <v>15</v>
      </c>
      <c r="G11" s="2" t="str">
        <f t="shared" si="1"/>
        <v>Available</v>
      </c>
    </row>
    <row r="12" spans="1:9" ht="15" customHeight="1" x14ac:dyDescent="0.25">
      <c r="A12" s="7" t="s">
        <v>665</v>
      </c>
      <c r="B12" s="2">
        <v>330</v>
      </c>
      <c r="C12" s="2">
        <v>380</v>
      </c>
      <c r="D12" s="2">
        <v>6</v>
      </c>
      <c r="E12" s="2">
        <v>3</v>
      </c>
      <c r="F12" s="2">
        <f t="shared" si="0"/>
        <v>3</v>
      </c>
      <c r="G12" s="2" t="str">
        <f t="shared" si="1"/>
        <v>Available</v>
      </c>
    </row>
    <row r="13" spans="1:9" ht="15" customHeight="1" x14ac:dyDescent="0.25">
      <c r="A13" s="7" t="s">
        <v>666</v>
      </c>
      <c r="B13" s="2">
        <v>330</v>
      </c>
      <c r="C13" s="2">
        <v>400</v>
      </c>
      <c r="D13" s="2">
        <v>8</v>
      </c>
      <c r="E13" s="2">
        <v>3</v>
      </c>
      <c r="F13" s="2">
        <f>D13-E13</f>
        <v>5</v>
      </c>
      <c r="G13" s="2" t="str">
        <f>IF(F13&lt;=2,"Reorder","Available")</f>
        <v>Available</v>
      </c>
    </row>
    <row r="14" spans="1:9" ht="15" customHeight="1" x14ac:dyDescent="0.25">
      <c r="A14" s="7" t="s">
        <v>667</v>
      </c>
      <c r="B14" s="2">
        <v>385</v>
      </c>
      <c r="C14" s="2">
        <v>450</v>
      </c>
      <c r="D14" s="2">
        <v>9</v>
      </c>
      <c r="E14" s="2">
        <v>1</v>
      </c>
      <c r="F14" s="2">
        <f t="shared" si="0"/>
        <v>8</v>
      </c>
      <c r="G14" s="2" t="str">
        <f t="shared" si="1"/>
        <v>Available</v>
      </c>
    </row>
    <row r="15" spans="1:9" ht="15" customHeight="1" x14ac:dyDescent="0.25">
      <c r="A15" s="7" t="s">
        <v>668</v>
      </c>
      <c r="B15" s="2">
        <v>385</v>
      </c>
      <c r="C15" s="2">
        <v>450</v>
      </c>
      <c r="D15" s="2">
        <v>8</v>
      </c>
      <c r="E15" s="2">
        <v>6</v>
      </c>
      <c r="F15" s="2">
        <f t="shared" si="0"/>
        <v>2</v>
      </c>
      <c r="G15" s="2" t="str">
        <f t="shared" si="1"/>
        <v>Reorder</v>
      </c>
    </row>
    <row r="16" spans="1:9" ht="15" customHeight="1" x14ac:dyDescent="0.25">
      <c r="A16" s="7" t="s">
        <v>669</v>
      </c>
      <c r="B16" s="2">
        <v>180</v>
      </c>
      <c r="C16" s="2">
        <v>220</v>
      </c>
      <c r="D16" s="2">
        <v>5</v>
      </c>
      <c r="E16" s="2">
        <v>2</v>
      </c>
      <c r="F16" s="2">
        <f t="shared" si="0"/>
        <v>3</v>
      </c>
      <c r="G16" s="2" t="str">
        <f t="shared" si="1"/>
        <v>Available</v>
      </c>
    </row>
    <row r="17" spans="1:7" ht="15" customHeight="1" x14ac:dyDescent="0.25">
      <c r="A17" s="7" t="s">
        <v>670</v>
      </c>
      <c r="B17" s="2">
        <v>180</v>
      </c>
      <c r="C17" s="2">
        <v>220</v>
      </c>
      <c r="D17" s="2">
        <v>5</v>
      </c>
      <c r="E17" s="2">
        <v>0</v>
      </c>
      <c r="F17" s="2">
        <f t="shared" si="0"/>
        <v>5</v>
      </c>
      <c r="G17" s="2" t="str">
        <f t="shared" si="1"/>
        <v>Available</v>
      </c>
    </row>
    <row r="18" spans="1:7" ht="15" customHeight="1" x14ac:dyDescent="0.25">
      <c r="A18" s="7" t="s">
        <v>671</v>
      </c>
      <c r="B18" s="2">
        <v>370</v>
      </c>
      <c r="C18" s="2">
        <v>400</v>
      </c>
      <c r="D18" s="2">
        <v>3</v>
      </c>
      <c r="E18" s="2">
        <v>3</v>
      </c>
      <c r="F18" s="2">
        <f t="shared" si="0"/>
        <v>0</v>
      </c>
      <c r="G18" s="2" t="str">
        <f t="shared" si="1"/>
        <v>Reorder</v>
      </c>
    </row>
    <row r="19" spans="1:7" x14ac:dyDescent="0.25">
      <c r="A19" s="2" t="s">
        <v>672</v>
      </c>
      <c r="B19" s="2">
        <v>370</v>
      </c>
      <c r="C19" s="2">
        <v>400</v>
      </c>
      <c r="D19" s="2">
        <v>3</v>
      </c>
      <c r="E19" s="2">
        <v>2</v>
      </c>
      <c r="F19" s="2">
        <f t="shared" si="0"/>
        <v>1</v>
      </c>
      <c r="G19" s="2" t="str">
        <f t="shared" si="1"/>
        <v>Reorder</v>
      </c>
    </row>
    <row r="20" spans="1:7" ht="44.25" customHeight="1" x14ac:dyDescent="0.25">
      <c r="A20" s="71" t="s">
        <v>227</v>
      </c>
      <c r="B20" s="72"/>
      <c r="C20" s="72"/>
      <c r="D20" s="72"/>
      <c r="E20" s="72"/>
    </row>
    <row r="21" spans="1:7" s="6" customFormat="1" ht="61.5" customHeight="1" x14ac:dyDescent="0.25">
      <c r="A21" s="4" t="s">
        <v>65</v>
      </c>
      <c r="B21" s="5" t="s">
        <v>224</v>
      </c>
      <c r="C21" s="5" t="s">
        <v>225</v>
      </c>
      <c r="D21" s="5" t="s">
        <v>680</v>
      </c>
      <c r="E21" s="5" t="s">
        <v>681</v>
      </c>
      <c r="F21" s="5" t="s">
        <v>682</v>
      </c>
      <c r="G21" s="2"/>
    </row>
    <row r="22" spans="1:7" x14ac:dyDescent="0.25">
      <c r="A22" s="2" t="s">
        <v>657</v>
      </c>
      <c r="B22" s="2">
        <v>180</v>
      </c>
      <c r="C22" s="2">
        <v>220</v>
      </c>
      <c r="D22" s="2">
        <v>5</v>
      </c>
      <c r="E22" s="2">
        <v>4</v>
      </c>
      <c r="F22" s="2">
        <f>D22-E22</f>
        <v>1</v>
      </c>
      <c r="G22" s="2" t="str">
        <f t="shared" si="1"/>
        <v>Reorder</v>
      </c>
    </row>
    <row r="23" spans="1:7" x14ac:dyDescent="0.25">
      <c r="A23" s="2" t="s">
        <v>658</v>
      </c>
      <c r="B23" s="2">
        <v>180</v>
      </c>
      <c r="C23" s="2">
        <v>220</v>
      </c>
      <c r="D23" s="2">
        <v>5</v>
      </c>
      <c r="E23" s="2">
        <v>3</v>
      </c>
      <c r="F23" s="2">
        <f t="shared" ref="F23:F39" si="2">D23-E23</f>
        <v>2</v>
      </c>
      <c r="G23" s="2" t="str">
        <f t="shared" si="1"/>
        <v>Reorder</v>
      </c>
    </row>
    <row r="24" spans="1:7" x14ac:dyDescent="0.25">
      <c r="A24" s="2" t="s">
        <v>659</v>
      </c>
      <c r="B24" s="2">
        <v>180</v>
      </c>
      <c r="C24" s="2">
        <v>220</v>
      </c>
      <c r="D24" s="2">
        <v>5</v>
      </c>
      <c r="E24" s="2">
        <v>0</v>
      </c>
      <c r="F24" s="2">
        <f t="shared" si="2"/>
        <v>5</v>
      </c>
      <c r="G24" s="2" t="str">
        <f t="shared" si="1"/>
        <v>Available</v>
      </c>
    </row>
    <row r="25" spans="1:7" x14ac:dyDescent="0.25">
      <c r="A25" s="2" t="s">
        <v>660</v>
      </c>
      <c r="B25" s="2">
        <v>180</v>
      </c>
      <c r="C25" s="2">
        <v>220</v>
      </c>
      <c r="D25" s="2">
        <v>5</v>
      </c>
      <c r="E25" s="2">
        <v>0</v>
      </c>
      <c r="F25" s="2">
        <f t="shared" si="2"/>
        <v>5</v>
      </c>
      <c r="G25" s="2" t="str">
        <f t="shared" si="1"/>
        <v>Available</v>
      </c>
    </row>
    <row r="26" spans="1:7" x14ac:dyDescent="0.25">
      <c r="A26" s="2" t="s">
        <v>673</v>
      </c>
      <c r="B26" s="2">
        <v>385</v>
      </c>
      <c r="C26" s="2">
        <v>405</v>
      </c>
      <c r="D26" s="2">
        <v>6</v>
      </c>
      <c r="E26" s="2">
        <v>0</v>
      </c>
      <c r="F26" s="2">
        <f t="shared" si="2"/>
        <v>6</v>
      </c>
      <c r="G26" s="2" t="str">
        <f t="shared" si="1"/>
        <v>Available</v>
      </c>
    </row>
    <row r="27" spans="1:7" x14ac:dyDescent="0.25">
      <c r="A27" s="2" t="s">
        <v>666</v>
      </c>
      <c r="B27" s="2">
        <v>385</v>
      </c>
      <c r="C27" s="2">
        <v>405</v>
      </c>
      <c r="D27" s="2">
        <v>6</v>
      </c>
      <c r="E27" s="2">
        <v>3</v>
      </c>
      <c r="F27" s="2">
        <f t="shared" si="2"/>
        <v>3</v>
      </c>
      <c r="G27" s="2" t="str">
        <f t="shared" si="1"/>
        <v>Available</v>
      </c>
    </row>
    <row r="28" spans="1:7" x14ac:dyDescent="0.25">
      <c r="A28" s="2" t="s">
        <v>674</v>
      </c>
      <c r="B28" s="2">
        <v>340</v>
      </c>
      <c r="C28" s="2">
        <v>405</v>
      </c>
      <c r="D28" s="2">
        <v>4</v>
      </c>
      <c r="E28" s="2">
        <v>3</v>
      </c>
      <c r="F28" s="2">
        <f t="shared" si="2"/>
        <v>1</v>
      </c>
      <c r="G28" s="2" t="str">
        <f t="shared" si="1"/>
        <v>Reorder</v>
      </c>
    </row>
    <row r="29" spans="1:7" x14ac:dyDescent="0.25">
      <c r="A29" s="2" t="s">
        <v>675</v>
      </c>
      <c r="B29" s="2">
        <v>340</v>
      </c>
      <c r="C29" s="2">
        <v>405</v>
      </c>
      <c r="D29" s="2">
        <v>3</v>
      </c>
      <c r="E29" s="2">
        <v>2</v>
      </c>
      <c r="F29" s="2">
        <f t="shared" si="2"/>
        <v>1</v>
      </c>
      <c r="G29" s="2" t="str">
        <f t="shared" si="1"/>
        <v>Reorder</v>
      </c>
    </row>
    <row r="30" spans="1:7" ht="15" customHeight="1" x14ac:dyDescent="0.25">
      <c r="A30" s="2" t="s">
        <v>677</v>
      </c>
      <c r="B30" s="2">
        <v>340</v>
      </c>
      <c r="C30" s="2">
        <v>405</v>
      </c>
      <c r="D30" s="2">
        <v>5</v>
      </c>
      <c r="E30" s="2">
        <v>0</v>
      </c>
      <c r="F30" s="2">
        <f t="shared" si="2"/>
        <v>5</v>
      </c>
      <c r="G30" s="2" t="str">
        <f t="shared" si="1"/>
        <v>Available</v>
      </c>
    </row>
    <row r="31" spans="1:7" ht="15" customHeight="1" x14ac:dyDescent="0.25">
      <c r="A31" s="2" t="s">
        <v>676</v>
      </c>
      <c r="B31" s="2">
        <v>340</v>
      </c>
      <c r="C31" s="2">
        <v>405</v>
      </c>
      <c r="D31" s="2">
        <v>6</v>
      </c>
      <c r="E31" s="2">
        <v>2</v>
      </c>
      <c r="F31" s="2">
        <f t="shared" si="2"/>
        <v>4</v>
      </c>
      <c r="G31" s="2" t="str">
        <f t="shared" si="1"/>
        <v>Available</v>
      </c>
    </row>
    <row r="32" spans="1:7" x14ac:dyDescent="0.25">
      <c r="A32" s="2" t="s">
        <v>678</v>
      </c>
      <c r="B32" s="2">
        <v>180</v>
      </c>
      <c r="C32" s="2">
        <v>220</v>
      </c>
      <c r="D32" s="2">
        <v>4</v>
      </c>
      <c r="E32" s="2">
        <v>2</v>
      </c>
      <c r="F32" s="2">
        <f t="shared" si="2"/>
        <v>2</v>
      </c>
      <c r="G32" s="2" t="str">
        <f t="shared" si="1"/>
        <v>Reorder</v>
      </c>
    </row>
    <row r="33" spans="1:7" x14ac:dyDescent="0.25">
      <c r="A33" s="2" t="s">
        <v>679</v>
      </c>
      <c r="B33" s="2">
        <v>180</v>
      </c>
      <c r="C33" s="2">
        <v>220</v>
      </c>
      <c r="D33" s="2">
        <v>4</v>
      </c>
      <c r="E33" s="2">
        <v>2</v>
      </c>
      <c r="F33" s="2">
        <f t="shared" si="2"/>
        <v>2</v>
      </c>
      <c r="G33" s="2" t="str">
        <f t="shared" si="1"/>
        <v>Reorder</v>
      </c>
    </row>
    <row r="34" spans="1:7" x14ac:dyDescent="0.25">
      <c r="A34" s="2" t="s">
        <v>821</v>
      </c>
      <c r="B34" s="2">
        <v>180</v>
      </c>
      <c r="C34" s="2">
        <v>220</v>
      </c>
      <c r="D34" s="2">
        <v>4</v>
      </c>
      <c r="E34" s="2">
        <v>0</v>
      </c>
      <c r="F34" s="2">
        <f t="shared" si="2"/>
        <v>4</v>
      </c>
      <c r="G34" s="2" t="str">
        <f t="shared" si="1"/>
        <v>Available</v>
      </c>
    </row>
    <row r="35" spans="1:7" x14ac:dyDescent="0.25">
      <c r="A35" s="2" t="s">
        <v>822</v>
      </c>
      <c r="B35" s="2">
        <v>180</v>
      </c>
      <c r="C35" s="2">
        <v>220</v>
      </c>
      <c r="D35" s="2">
        <v>7</v>
      </c>
      <c r="E35" s="2">
        <v>0</v>
      </c>
      <c r="F35" s="2">
        <f t="shared" si="2"/>
        <v>7</v>
      </c>
      <c r="G35" s="2" t="str">
        <f t="shared" si="1"/>
        <v>Available</v>
      </c>
    </row>
    <row r="36" spans="1:7" x14ac:dyDescent="0.25">
      <c r="A36" s="2" t="s">
        <v>1016</v>
      </c>
      <c r="B36" s="2">
        <v>350</v>
      </c>
      <c r="C36" s="2">
        <v>430</v>
      </c>
      <c r="D36" s="2">
        <v>5</v>
      </c>
      <c r="E36" s="2">
        <v>0</v>
      </c>
      <c r="F36" s="2">
        <f t="shared" si="2"/>
        <v>5</v>
      </c>
      <c r="G36" s="2" t="str">
        <f t="shared" si="1"/>
        <v>Available</v>
      </c>
    </row>
    <row r="37" spans="1:7" x14ac:dyDescent="0.25">
      <c r="A37" s="2" t="s">
        <v>1020</v>
      </c>
      <c r="B37" s="2">
        <v>350</v>
      </c>
      <c r="C37" s="2">
        <v>430</v>
      </c>
      <c r="D37" s="2">
        <v>5</v>
      </c>
      <c r="E37" s="2">
        <v>1</v>
      </c>
      <c r="F37" s="2">
        <f t="shared" si="2"/>
        <v>4</v>
      </c>
      <c r="G37" s="2" t="str">
        <f t="shared" si="1"/>
        <v>Available</v>
      </c>
    </row>
    <row r="38" spans="1:7" x14ac:dyDescent="0.25">
      <c r="A38" s="2" t="s">
        <v>1035</v>
      </c>
      <c r="B38" s="2">
        <v>200</v>
      </c>
      <c r="C38" s="2">
        <v>250</v>
      </c>
      <c r="D38" s="2">
        <v>6</v>
      </c>
      <c r="E38" s="2">
        <v>0</v>
      </c>
      <c r="F38" s="2">
        <f t="shared" si="2"/>
        <v>6</v>
      </c>
      <c r="G38" s="2" t="str">
        <f t="shared" si="1"/>
        <v>Available</v>
      </c>
    </row>
    <row r="39" spans="1:7" x14ac:dyDescent="0.25">
      <c r="A39" s="2" t="s">
        <v>1036</v>
      </c>
      <c r="B39" s="2">
        <v>200</v>
      </c>
      <c r="C39" s="2">
        <v>250</v>
      </c>
      <c r="D39" s="2">
        <v>6</v>
      </c>
      <c r="E39" s="2">
        <v>0</v>
      </c>
      <c r="F39" s="2">
        <f t="shared" si="2"/>
        <v>6</v>
      </c>
      <c r="G39" s="2" t="str">
        <f t="shared" si="1"/>
        <v>Available</v>
      </c>
    </row>
  </sheetData>
  <mergeCells count="2">
    <mergeCell ref="A2:E2"/>
    <mergeCell ref="A20:E20"/>
  </mergeCells>
  <conditionalFormatting sqref="A1:E2 A22:A26 A3:C19 B22:B38 C22:C39">
    <cfRule type="expression" dxfId="520" priority="7">
      <formula>ROW()=CELL(ROW)</formula>
    </cfRule>
  </conditionalFormatting>
  <conditionalFormatting sqref="A20:E20 A21:C21">
    <cfRule type="expression" dxfId="519" priority="6">
      <formula>ROW()=CELL(ROW)</formula>
    </cfRule>
  </conditionalFormatting>
  <conditionalFormatting sqref="D3">
    <cfRule type="expression" dxfId="518" priority="5">
      <formula>ROW()=CELL(ROW)</formula>
    </cfRule>
  </conditionalFormatting>
  <conditionalFormatting sqref="G3">
    <cfRule type="containsText" dxfId="517" priority="4" operator="containsText" text="Reorder ">
      <formula>NOT(ISERROR(SEARCH("Reorder ",G3)))</formula>
    </cfRule>
  </conditionalFormatting>
  <conditionalFormatting sqref="D21">
    <cfRule type="expression" dxfId="516" priority="3">
      <formula>ROW()=CELL(ROW)</formula>
    </cfRule>
  </conditionalFormatting>
  <conditionalFormatting sqref="G21">
    <cfRule type="containsText" dxfId="515" priority="2" operator="containsText" text="Reorder ">
      <formula>NOT(ISERROR(SEARCH("Reorder ",G21)))</formula>
    </cfRule>
  </conditionalFormatting>
  <conditionalFormatting sqref="G1:G1048576">
    <cfRule type="containsText" dxfId="514" priority="1" operator="containsText" text="Reorder">
      <formula>NOT(ISERROR(SEARCH("Reorder",G1)))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9"/>
  <sheetViews>
    <sheetView workbookViewId="0">
      <selection activeCell="C16" sqref="C16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4.140625" style="2" customWidth="1"/>
    <col min="5" max="5" width="13.42578125" style="2" customWidth="1"/>
    <col min="6" max="6" width="16.140625" style="2" customWidth="1"/>
    <col min="7" max="7" width="11.85546875" style="2" customWidth="1"/>
    <col min="8" max="16384" width="9.140625" style="2"/>
  </cols>
  <sheetData>
    <row r="1" spans="1:7" ht="44.25" customHeight="1" x14ac:dyDescent="0.25">
      <c r="A1" s="71" t="s">
        <v>229</v>
      </c>
      <c r="B1" s="72"/>
      <c r="C1" s="72"/>
      <c r="D1" s="72"/>
      <c r="E1" s="72"/>
    </row>
    <row r="2" spans="1:7" s="7" customFormat="1" ht="61.5" customHeight="1" x14ac:dyDescent="0.25">
      <c r="A2" s="4" t="s">
        <v>65</v>
      </c>
      <c r="B2" s="5" t="s">
        <v>60</v>
      </c>
      <c r="C2" s="5" t="s">
        <v>62</v>
      </c>
      <c r="D2" s="5" t="s">
        <v>634</v>
      </c>
      <c r="E2" s="5" t="s">
        <v>635</v>
      </c>
      <c r="F2" s="5" t="s">
        <v>641</v>
      </c>
      <c r="G2" s="5" t="s">
        <v>638</v>
      </c>
    </row>
    <row r="3" spans="1:7" ht="15" customHeight="1" x14ac:dyDescent="0.25">
      <c r="A3" s="7" t="s">
        <v>138</v>
      </c>
      <c r="B3" s="2">
        <v>110</v>
      </c>
      <c r="C3" s="2">
        <v>150</v>
      </c>
      <c r="D3" s="2">
        <v>18</v>
      </c>
      <c r="E3" s="2">
        <v>1</v>
      </c>
      <c r="F3" s="2">
        <f>D3-E3</f>
        <v>17</v>
      </c>
      <c r="G3" s="2" t="str">
        <f>IF(F3&lt;=3,"Reorder","Available")</f>
        <v>Available</v>
      </c>
    </row>
    <row r="4" spans="1:7" ht="15" customHeight="1" x14ac:dyDescent="0.25">
      <c r="A4" s="7" t="s">
        <v>233</v>
      </c>
      <c r="B4" s="2">
        <v>110</v>
      </c>
      <c r="C4" s="2">
        <v>150</v>
      </c>
      <c r="D4" s="2">
        <v>27</v>
      </c>
      <c r="E4" s="2">
        <v>3</v>
      </c>
      <c r="F4" s="2">
        <f t="shared" ref="F4:F16" si="0">D4-E4</f>
        <v>24</v>
      </c>
      <c r="G4" s="2" t="str">
        <f t="shared" ref="G4:G15" si="1">IF(F4&lt;=3,"Reorder","Available")</f>
        <v>Available</v>
      </c>
    </row>
    <row r="5" spans="1:7" ht="15" customHeight="1" x14ac:dyDescent="0.25">
      <c r="A5" s="7" t="s">
        <v>25</v>
      </c>
      <c r="B5" s="2">
        <v>160</v>
      </c>
      <c r="C5" s="2">
        <v>230</v>
      </c>
      <c r="D5" s="2">
        <v>10</v>
      </c>
      <c r="E5" s="2">
        <v>3</v>
      </c>
      <c r="F5" s="2">
        <f t="shared" si="0"/>
        <v>7</v>
      </c>
      <c r="G5" s="2" t="str">
        <f t="shared" si="1"/>
        <v>Available</v>
      </c>
    </row>
    <row r="6" spans="1:7" ht="15" customHeight="1" x14ac:dyDescent="0.25">
      <c r="A6" s="7" t="s">
        <v>234</v>
      </c>
      <c r="B6" s="2">
        <v>110</v>
      </c>
      <c r="C6" s="2">
        <v>150</v>
      </c>
      <c r="D6" s="2">
        <v>13</v>
      </c>
      <c r="E6" s="2">
        <v>9</v>
      </c>
      <c r="F6" s="2">
        <f t="shared" si="0"/>
        <v>4</v>
      </c>
      <c r="G6" s="2" t="str">
        <f t="shared" si="1"/>
        <v>Available</v>
      </c>
    </row>
    <row r="7" spans="1:7" ht="15" customHeight="1" x14ac:dyDescent="0.25">
      <c r="A7" s="7" t="s">
        <v>151</v>
      </c>
      <c r="B7" s="2">
        <v>110</v>
      </c>
      <c r="C7" s="2">
        <v>150</v>
      </c>
      <c r="D7" s="2">
        <v>22</v>
      </c>
      <c r="E7" s="2">
        <v>6</v>
      </c>
      <c r="F7" s="2">
        <f t="shared" si="0"/>
        <v>16</v>
      </c>
      <c r="G7" s="2" t="str">
        <f t="shared" si="1"/>
        <v>Available</v>
      </c>
    </row>
    <row r="8" spans="1:7" ht="15" customHeight="1" x14ac:dyDescent="0.25">
      <c r="A8" s="7" t="s">
        <v>228</v>
      </c>
      <c r="B8" s="2">
        <v>150</v>
      </c>
      <c r="C8" s="2">
        <v>200</v>
      </c>
      <c r="D8" s="2">
        <v>19</v>
      </c>
      <c r="E8" s="2">
        <v>11</v>
      </c>
      <c r="F8" s="2">
        <f t="shared" si="0"/>
        <v>8</v>
      </c>
      <c r="G8" s="2" t="str">
        <f t="shared" si="1"/>
        <v>Available</v>
      </c>
    </row>
    <row r="9" spans="1:7" ht="15" customHeight="1" x14ac:dyDescent="0.25">
      <c r="A9" s="7" t="s">
        <v>230</v>
      </c>
      <c r="B9" s="2">
        <v>110</v>
      </c>
      <c r="C9" s="2">
        <v>150</v>
      </c>
      <c r="D9" s="2">
        <v>14</v>
      </c>
      <c r="E9" s="2">
        <v>1</v>
      </c>
      <c r="F9" s="2">
        <f t="shared" si="0"/>
        <v>13</v>
      </c>
      <c r="G9" s="2" t="str">
        <f t="shared" si="1"/>
        <v>Available</v>
      </c>
    </row>
    <row r="10" spans="1:7" ht="15" customHeight="1" x14ac:dyDescent="0.25">
      <c r="A10" s="7" t="s">
        <v>231</v>
      </c>
      <c r="B10" s="2">
        <v>110</v>
      </c>
      <c r="C10" s="2">
        <v>150</v>
      </c>
      <c r="D10" s="2">
        <v>22</v>
      </c>
      <c r="E10" s="2">
        <v>5</v>
      </c>
      <c r="F10" s="2">
        <f t="shared" si="0"/>
        <v>17</v>
      </c>
      <c r="G10" s="2" t="str">
        <f t="shared" si="1"/>
        <v>Available</v>
      </c>
    </row>
    <row r="11" spans="1:7" ht="15" customHeight="1" x14ac:dyDescent="0.25">
      <c r="A11" s="7" t="s">
        <v>590</v>
      </c>
      <c r="B11" s="2">
        <v>110</v>
      </c>
      <c r="C11" s="2">
        <v>150</v>
      </c>
      <c r="D11" s="2">
        <v>18</v>
      </c>
      <c r="E11" s="2">
        <v>18</v>
      </c>
      <c r="F11" s="2">
        <f t="shared" si="0"/>
        <v>0</v>
      </c>
      <c r="G11" s="2" t="str">
        <f t="shared" si="1"/>
        <v>Reorder</v>
      </c>
    </row>
    <row r="12" spans="1:7" x14ac:dyDescent="0.25">
      <c r="A12" s="2" t="s">
        <v>232</v>
      </c>
      <c r="B12" s="2">
        <v>110</v>
      </c>
      <c r="C12" s="2">
        <v>150</v>
      </c>
      <c r="D12" s="2">
        <v>10</v>
      </c>
      <c r="E12" s="2">
        <v>0</v>
      </c>
      <c r="F12" s="2">
        <f t="shared" si="0"/>
        <v>10</v>
      </c>
      <c r="G12" s="2" t="str">
        <f t="shared" si="1"/>
        <v>Available</v>
      </c>
    </row>
    <row r="13" spans="1:7" x14ac:dyDescent="0.25">
      <c r="A13" s="2" t="s">
        <v>39</v>
      </c>
      <c r="B13" s="2">
        <v>110</v>
      </c>
      <c r="C13" s="2">
        <v>150</v>
      </c>
      <c r="D13" s="2">
        <v>10</v>
      </c>
      <c r="E13" s="2">
        <v>1</v>
      </c>
      <c r="F13" s="2">
        <f t="shared" si="0"/>
        <v>9</v>
      </c>
      <c r="G13" s="2" t="str">
        <f t="shared" si="1"/>
        <v>Available</v>
      </c>
    </row>
    <row r="14" spans="1:7" x14ac:dyDescent="0.25">
      <c r="A14" s="2" t="s">
        <v>235</v>
      </c>
      <c r="B14" s="2">
        <v>150</v>
      </c>
      <c r="C14" s="2">
        <v>180</v>
      </c>
      <c r="D14" s="2">
        <v>14</v>
      </c>
      <c r="E14" s="2">
        <v>8</v>
      </c>
      <c r="F14" s="2">
        <f t="shared" si="0"/>
        <v>6</v>
      </c>
      <c r="G14" s="2" t="str">
        <f t="shared" si="1"/>
        <v>Available</v>
      </c>
    </row>
    <row r="15" spans="1:7" x14ac:dyDescent="0.25">
      <c r="A15" s="2" t="s">
        <v>207</v>
      </c>
      <c r="B15" s="2">
        <v>230</v>
      </c>
      <c r="C15" s="2">
        <v>300</v>
      </c>
      <c r="D15" s="2">
        <v>10</v>
      </c>
      <c r="E15" s="2">
        <v>6</v>
      </c>
      <c r="F15" s="2">
        <f t="shared" si="0"/>
        <v>4</v>
      </c>
      <c r="G15" s="2" t="str">
        <f t="shared" si="1"/>
        <v>Available</v>
      </c>
    </row>
    <row r="16" spans="1:7" x14ac:dyDescent="0.25">
      <c r="A16" s="2" t="s">
        <v>12</v>
      </c>
      <c r="B16" s="2">
        <v>110</v>
      </c>
      <c r="C16" s="2">
        <v>150</v>
      </c>
      <c r="D16" s="2">
        <v>17</v>
      </c>
      <c r="E16" s="2">
        <v>6</v>
      </c>
      <c r="F16" s="2">
        <f t="shared" si="0"/>
        <v>11</v>
      </c>
      <c r="G16" s="2" t="str">
        <f>IF(F16&lt;=3,"Reorder","Available")</f>
        <v>Available</v>
      </c>
    </row>
    <row r="19" ht="15" customHeight="1" x14ac:dyDescent="0.25"/>
  </sheetData>
  <mergeCells count="1">
    <mergeCell ref="A1:E1"/>
  </mergeCells>
  <conditionalFormatting sqref="C17:C27 A2:C2 A3:A16 B12:B26 C12:C15 B3:C11 A1:E1">
    <cfRule type="expression" dxfId="513" priority="4">
      <formula>ROW()=CELL(ROW)</formula>
    </cfRule>
  </conditionalFormatting>
  <conditionalFormatting sqref="D2">
    <cfRule type="expression" dxfId="512" priority="3">
      <formula>ROW()=CELL(ROW)</formula>
    </cfRule>
  </conditionalFormatting>
  <conditionalFormatting sqref="G2">
    <cfRule type="containsText" dxfId="511" priority="2" operator="containsText" text="Reorder ">
      <formula>NOT(ISERROR(SEARCH("Reorder ",G2)))</formula>
    </cfRule>
  </conditionalFormatting>
  <conditionalFormatting sqref="G3:G15">
    <cfRule type="containsText" dxfId="510" priority="1" operator="containsText" text="Reorder">
      <formula>NOT(ISERROR(SEARCH("Reorder",G3)))</formula>
    </cfRule>
  </conditionalFormatting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G22"/>
  <sheetViews>
    <sheetView zoomScale="115" zoomScaleNormal="115" workbookViewId="0">
      <selection activeCell="E9" sqref="E9"/>
    </sheetView>
  </sheetViews>
  <sheetFormatPr defaultRowHeight="15" x14ac:dyDescent="0.25"/>
  <cols>
    <col min="1" max="1" width="32.5703125" style="2" bestFit="1" customWidth="1"/>
    <col min="2" max="2" width="18.85546875" style="2" customWidth="1"/>
    <col min="3" max="3" width="18.5703125" style="2" customWidth="1"/>
    <col min="4" max="4" width="13.7109375" style="2" customWidth="1"/>
    <col min="5" max="5" width="13.42578125" style="2" customWidth="1"/>
    <col min="6" max="6" width="18.7109375" style="2" customWidth="1"/>
    <col min="7" max="7" width="12.7109375" style="2" customWidth="1"/>
    <col min="8" max="16384" width="9.140625" style="2"/>
  </cols>
  <sheetData>
    <row r="2" spans="1:7" ht="44.25" customHeight="1" x14ac:dyDescent="0.25">
      <c r="A2" s="71" t="s">
        <v>236</v>
      </c>
      <c r="B2" s="72"/>
      <c r="C2" s="72"/>
      <c r="D2" s="72"/>
      <c r="E2" s="72"/>
    </row>
    <row r="3" spans="1:7" s="7" customFormat="1" ht="61.5" customHeight="1" x14ac:dyDescent="0.25">
      <c r="A3" s="4" t="s">
        <v>237</v>
      </c>
      <c r="B3" s="5" t="s">
        <v>60</v>
      </c>
      <c r="C3" s="5" t="s">
        <v>62</v>
      </c>
      <c r="D3" s="5" t="s">
        <v>634</v>
      </c>
      <c r="E3" s="5" t="s">
        <v>635</v>
      </c>
      <c r="F3" s="5" t="s">
        <v>641</v>
      </c>
      <c r="G3" s="5" t="s">
        <v>638</v>
      </c>
    </row>
    <row r="4" spans="1:7" ht="15" customHeight="1" x14ac:dyDescent="0.25">
      <c r="A4" s="7" t="s">
        <v>1063</v>
      </c>
      <c r="B4" s="2">
        <v>450</v>
      </c>
      <c r="C4" s="2">
        <v>600</v>
      </c>
      <c r="D4" s="2">
        <v>2</v>
      </c>
      <c r="E4" s="2">
        <v>2</v>
      </c>
      <c r="F4" s="2">
        <f>D4-E4</f>
        <v>0</v>
      </c>
      <c r="G4" s="2" t="str">
        <f>IF(F4&lt;=1,"Reorder","Available")</f>
        <v>Reorder</v>
      </c>
    </row>
    <row r="5" spans="1:7" ht="15" customHeight="1" x14ac:dyDescent="0.25">
      <c r="A5" s="7" t="s">
        <v>983</v>
      </c>
      <c r="B5" s="2">
        <v>450</v>
      </c>
      <c r="C5" s="2">
        <v>600</v>
      </c>
      <c r="D5" s="2">
        <v>3</v>
      </c>
      <c r="E5" s="2">
        <v>3</v>
      </c>
      <c r="F5" s="2">
        <f>D5-E5</f>
        <v>0</v>
      </c>
      <c r="G5" s="2" t="str">
        <f>IF(F5&lt;=1,"Reorder","Available")</f>
        <v>Reorder</v>
      </c>
    </row>
    <row r="6" spans="1:7" ht="15" customHeight="1" x14ac:dyDescent="0.25">
      <c r="A6" s="7" t="s">
        <v>976</v>
      </c>
      <c r="B6" s="2">
        <v>450</v>
      </c>
      <c r="C6" s="2">
        <v>600</v>
      </c>
      <c r="D6" s="2">
        <v>4</v>
      </c>
      <c r="E6" s="2">
        <v>1</v>
      </c>
      <c r="F6" s="2">
        <f t="shared" ref="F6:F15" si="0">D6-E6</f>
        <v>3</v>
      </c>
      <c r="G6" s="2" t="str">
        <f t="shared" ref="G6:G15" si="1">IF(F6&lt;=1,"Reorder","Available")</f>
        <v>Available</v>
      </c>
    </row>
    <row r="7" spans="1:7" ht="15" customHeight="1" x14ac:dyDescent="0.25">
      <c r="A7" s="7" t="s">
        <v>984</v>
      </c>
      <c r="B7" s="2">
        <v>450</v>
      </c>
      <c r="C7" s="2">
        <v>600</v>
      </c>
      <c r="D7" s="2">
        <v>3</v>
      </c>
      <c r="E7" s="2">
        <v>3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7" t="s">
        <v>238</v>
      </c>
      <c r="B8" s="2">
        <v>425</v>
      </c>
      <c r="C8" s="2">
        <v>525</v>
      </c>
      <c r="D8" s="2">
        <v>0</v>
      </c>
      <c r="E8" s="2">
        <v>0</v>
      </c>
      <c r="F8" s="2">
        <f t="shared" si="0"/>
        <v>0</v>
      </c>
      <c r="G8" s="2" t="str">
        <f t="shared" si="1"/>
        <v>Reorder</v>
      </c>
    </row>
    <row r="9" spans="1:7" ht="15" customHeight="1" x14ac:dyDescent="0.25">
      <c r="A9" s="7" t="s">
        <v>170</v>
      </c>
      <c r="B9" s="2">
        <v>475</v>
      </c>
      <c r="C9" s="2">
        <v>575</v>
      </c>
      <c r="D9" s="2">
        <v>1</v>
      </c>
      <c r="E9" s="2">
        <v>0</v>
      </c>
      <c r="F9" s="2">
        <f t="shared" si="0"/>
        <v>1</v>
      </c>
      <c r="G9" s="2" t="str">
        <f t="shared" si="1"/>
        <v>Reorder</v>
      </c>
    </row>
    <row r="10" spans="1:7" ht="15" customHeight="1" x14ac:dyDescent="0.25">
      <c r="A10" s="7" t="s">
        <v>1062</v>
      </c>
      <c r="B10" s="2">
        <v>700</v>
      </c>
      <c r="C10" s="2">
        <v>800</v>
      </c>
      <c r="D10" s="2">
        <v>3</v>
      </c>
      <c r="E10" s="2">
        <v>0</v>
      </c>
      <c r="F10" s="2">
        <f t="shared" si="0"/>
        <v>3</v>
      </c>
      <c r="G10" s="2" t="str">
        <f t="shared" si="1"/>
        <v>Available</v>
      </c>
    </row>
    <row r="11" spans="1:7" ht="15" customHeight="1" x14ac:dyDescent="0.25">
      <c r="A11" s="7" t="s">
        <v>982</v>
      </c>
      <c r="B11" s="2">
        <v>500</v>
      </c>
      <c r="C11" s="2">
        <v>600</v>
      </c>
      <c r="D11" s="2">
        <v>2</v>
      </c>
      <c r="E11" s="2">
        <v>2</v>
      </c>
      <c r="F11" s="2">
        <f t="shared" si="0"/>
        <v>0</v>
      </c>
      <c r="G11" s="2" t="str">
        <f t="shared" si="1"/>
        <v>Reorder</v>
      </c>
    </row>
    <row r="12" spans="1:7" ht="15" customHeight="1" x14ac:dyDescent="0.25">
      <c r="A12" s="7" t="s">
        <v>1013</v>
      </c>
      <c r="B12" s="2">
        <v>500</v>
      </c>
      <c r="C12" s="2">
        <v>650</v>
      </c>
      <c r="D12" s="2">
        <v>3</v>
      </c>
      <c r="E12" s="2">
        <v>0</v>
      </c>
      <c r="F12" s="2">
        <f t="shared" si="0"/>
        <v>3</v>
      </c>
      <c r="G12" s="2" t="str">
        <f t="shared" si="1"/>
        <v>Available</v>
      </c>
    </row>
    <row r="13" spans="1:7" ht="15" customHeight="1" x14ac:dyDescent="0.25">
      <c r="A13" s="7" t="s">
        <v>176</v>
      </c>
      <c r="B13" s="2">
        <v>650</v>
      </c>
      <c r="C13" s="2">
        <v>800</v>
      </c>
      <c r="D13" s="2">
        <v>3</v>
      </c>
      <c r="E13" s="2">
        <v>2</v>
      </c>
      <c r="F13" s="2">
        <f t="shared" si="0"/>
        <v>1</v>
      </c>
      <c r="G13" s="2" t="str">
        <f t="shared" si="1"/>
        <v>Reorder</v>
      </c>
    </row>
    <row r="14" spans="1:7" ht="15" customHeight="1" x14ac:dyDescent="0.25">
      <c r="A14" s="7" t="s">
        <v>1054</v>
      </c>
      <c r="B14" s="2">
        <v>900</v>
      </c>
      <c r="C14" s="2">
        <v>1000</v>
      </c>
      <c r="D14" s="2">
        <v>2</v>
      </c>
      <c r="E14" s="2">
        <v>0</v>
      </c>
      <c r="F14" s="2">
        <f t="shared" si="0"/>
        <v>2</v>
      </c>
      <c r="G14" s="2" t="str">
        <f t="shared" si="1"/>
        <v>Available</v>
      </c>
    </row>
    <row r="15" spans="1:7" x14ac:dyDescent="0.25">
      <c r="A15" s="2" t="s">
        <v>1009</v>
      </c>
      <c r="B15" s="2">
        <v>750</v>
      </c>
      <c r="C15" s="2">
        <v>950</v>
      </c>
      <c r="D15" s="2">
        <v>2</v>
      </c>
      <c r="E15" s="2">
        <v>0</v>
      </c>
      <c r="F15" s="2">
        <f t="shared" si="0"/>
        <v>2</v>
      </c>
      <c r="G15" s="2" t="str">
        <f t="shared" si="1"/>
        <v>Available</v>
      </c>
    </row>
    <row r="22" ht="15" customHeight="1" x14ac:dyDescent="0.25"/>
  </sheetData>
  <mergeCells count="1">
    <mergeCell ref="A2:E2"/>
  </mergeCells>
  <conditionalFormatting sqref="A1:E2 C20:C30 A3:C3 B15:B29 C15:C18 B4:C14 A4:A19">
    <cfRule type="expression" dxfId="509" priority="4">
      <formula>ROW()=CELL(ROW)</formula>
    </cfRule>
  </conditionalFormatting>
  <conditionalFormatting sqref="D3">
    <cfRule type="expression" dxfId="508" priority="3">
      <formula>ROW()=CELL(ROW)</formula>
    </cfRule>
  </conditionalFormatting>
  <conditionalFormatting sqref="G3">
    <cfRule type="containsText" dxfId="507" priority="2" operator="containsText" text="Reorder ">
      <formula>NOT(ISERROR(SEARCH("Reorder ",G3)))</formula>
    </cfRule>
  </conditionalFormatting>
  <conditionalFormatting sqref="G4:G14">
    <cfRule type="containsText" dxfId="506" priority="1" operator="containsText" text="Reorder">
      <formula>NOT(ISERROR(SEARCH("Reorder",G4)))</formula>
    </cfRule>
  </conditionalFormatting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6"/>
  <sheetViews>
    <sheetView zoomScale="85" zoomScaleNormal="85" workbookViewId="0">
      <selection sqref="A1:E1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1.28515625" style="2" bestFit="1" customWidth="1"/>
    <col min="5" max="5" width="8.5703125" style="2" bestFit="1" customWidth="1"/>
    <col min="6" max="6" width="16.5703125" style="2" bestFit="1" customWidth="1"/>
    <col min="7" max="7" width="11.42578125" style="2" bestFit="1" customWidth="1"/>
    <col min="8" max="16384" width="9.140625" style="2"/>
  </cols>
  <sheetData>
    <row r="1" spans="1:7" ht="44.25" customHeight="1" x14ac:dyDescent="0.25">
      <c r="A1" s="71" t="s">
        <v>239</v>
      </c>
      <c r="B1" s="72"/>
      <c r="C1" s="72"/>
      <c r="D1" s="72"/>
      <c r="E1" s="72"/>
    </row>
    <row r="2" spans="1:7" s="7" customFormat="1" ht="61.5" customHeight="1" x14ac:dyDescent="0.25">
      <c r="A2" s="4" t="s">
        <v>65</v>
      </c>
      <c r="B2" s="5" t="s">
        <v>60</v>
      </c>
      <c r="C2" s="5" t="s">
        <v>62</v>
      </c>
      <c r="D2" s="5" t="s">
        <v>634</v>
      </c>
      <c r="E2" s="5" t="s">
        <v>635</v>
      </c>
      <c r="F2" s="5" t="s">
        <v>641</v>
      </c>
      <c r="G2" s="5" t="s">
        <v>638</v>
      </c>
    </row>
    <row r="3" spans="1:7" ht="15" customHeight="1" x14ac:dyDescent="0.25">
      <c r="A3" s="7" t="s">
        <v>205</v>
      </c>
      <c r="B3" s="2">
        <v>210</v>
      </c>
      <c r="C3" s="2">
        <v>250</v>
      </c>
      <c r="D3" s="2">
        <v>3</v>
      </c>
      <c r="E3" s="2">
        <v>1</v>
      </c>
      <c r="F3" s="2">
        <f>D3-E3</f>
        <v>2</v>
      </c>
      <c r="G3" s="2" t="str">
        <f>IF(F3&lt;=1,"Reorder","Available")</f>
        <v>Available</v>
      </c>
    </row>
    <row r="4" spans="1:7" ht="15" customHeight="1" x14ac:dyDescent="0.25">
      <c r="A4" s="7" t="s">
        <v>5</v>
      </c>
      <c r="B4" s="2">
        <v>450</v>
      </c>
      <c r="C4" s="2">
        <v>500</v>
      </c>
      <c r="D4" s="2">
        <v>6</v>
      </c>
      <c r="E4" s="2">
        <v>3</v>
      </c>
      <c r="F4" s="2">
        <f t="shared" ref="F4:F16" si="0">D4-E4</f>
        <v>3</v>
      </c>
      <c r="G4" s="2" t="str">
        <f t="shared" ref="G4:G16" si="1">IF(F4&lt;=1,"Reorder","Available")</f>
        <v>Available</v>
      </c>
    </row>
    <row r="5" spans="1:7" ht="15" customHeight="1" x14ac:dyDescent="0.25">
      <c r="A5" s="7" t="s">
        <v>6</v>
      </c>
      <c r="B5" s="2">
        <v>475</v>
      </c>
      <c r="C5" s="2">
        <v>530</v>
      </c>
      <c r="D5" s="2">
        <v>5</v>
      </c>
      <c r="E5" s="2">
        <v>0</v>
      </c>
      <c r="F5" s="2">
        <f t="shared" si="0"/>
        <v>5</v>
      </c>
      <c r="G5" s="2" t="str">
        <f t="shared" si="1"/>
        <v>Available</v>
      </c>
    </row>
    <row r="6" spans="1:7" ht="15" customHeight="1" x14ac:dyDescent="0.25">
      <c r="A6" s="7" t="s">
        <v>240</v>
      </c>
      <c r="B6" s="2">
        <v>240</v>
      </c>
      <c r="C6" s="2">
        <v>290</v>
      </c>
      <c r="D6" s="2">
        <v>4</v>
      </c>
      <c r="E6" s="2">
        <v>1</v>
      </c>
      <c r="F6" s="2">
        <f t="shared" si="0"/>
        <v>3</v>
      </c>
      <c r="G6" s="2" t="str">
        <f t="shared" si="1"/>
        <v>Available</v>
      </c>
    </row>
    <row r="7" spans="1:7" ht="15" customHeight="1" x14ac:dyDescent="0.25">
      <c r="A7" s="7" t="s">
        <v>241</v>
      </c>
      <c r="B7" s="2">
        <v>240</v>
      </c>
      <c r="C7" s="2">
        <v>290</v>
      </c>
      <c r="D7" s="2">
        <v>1</v>
      </c>
      <c r="E7" s="2">
        <v>1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7" t="s">
        <v>17</v>
      </c>
      <c r="B8" s="2">
        <v>450</v>
      </c>
      <c r="C8" s="2">
        <v>520</v>
      </c>
      <c r="D8" s="2">
        <v>5</v>
      </c>
      <c r="E8" s="2">
        <v>2</v>
      </c>
      <c r="F8" s="2">
        <f t="shared" si="0"/>
        <v>3</v>
      </c>
      <c r="G8" s="2" t="str">
        <f t="shared" si="1"/>
        <v>Available</v>
      </c>
    </row>
    <row r="9" spans="1:7" ht="15" customHeight="1" x14ac:dyDescent="0.25">
      <c r="A9" s="7" t="s">
        <v>179</v>
      </c>
      <c r="B9" s="2">
        <v>260</v>
      </c>
      <c r="C9" s="2">
        <v>350</v>
      </c>
      <c r="D9" s="2">
        <v>4</v>
      </c>
      <c r="E9" s="2">
        <v>1</v>
      </c>
      <c r="F9" s="2">
        <f t="shared" si="0"/>
        <v>3</v>
      </c>
      <c r="G9" s="2" t="str">
        <f t="shared" si="1"/>
        <v>Available</v>
      </c>
    </row>
    <row r="10" spans="1:7" ht="15" customHeight="1" x14ac:dyDescent="0.25">
      <c r="A10" s="7" t="s">
        <v>12</v>
      </c>
      <c r="B10" s="2">
        <v>350</v>
      </c>
      <c r="C10" s="2">
        <v>450</v>
      </c>
      <c r="D10" s="2">
        <v>3</v>
      </c>
      <c r="E10" s="2">
        <v>0</v>
      </c>
      <c r="F10" s="2">
        <f t="shared" si="0"/>
        <v>3</v>
      </c>
      <c r="G10" s="2" t="str">
        <f t="shared" si="1"/>
        <v>Available</v>
      </c>
    </row>
    <row r="11" spans="1:7" x14ac:dyDescent="0.25">
      <c r="A11" s="2" t="s">
        <v>180</v>
      </c>
      <c r="B11" s="2">
        <v>340</v>
      </c>
      <c r="C11" s="2">
        <v>395</v>
      </c>
      <c r="D11" s="2">
        <v>0</v>
      </c>
      <c r="E11" s="2">
        <v>0</v>
      </c>
      <c r="F11" s="2">
        <f t="shared" si="0"/>
        <v>0</v>
      </c>
      <c r="G11" s="2" t="str">
        <f t="shared" si="1"/>
        <v>Reorder</v>
      </c>
    </row>
    <row r="12" spans="1:7" x14ac:dyDescent="0.25">
      <c r="A12" s="2" t="s">
        <v>183</v>
      </c>
      <c r="B12" s="2">
        <v>450</v>
      </c>
      <c r="C12" s="2">
        <v>505</v>
      </c>
      <c r="D12" s="2">
        <v>1</v>
      </c>
      <c r="E12" s="2">
        <v>0</v>
      </c>
      <c r="F12" s="2">
        <f t="shared" si="0"/>
        <v>1</v>
      </c>
      <c r="G12" s="2" t="str">
        <f t="shared" si="1"/>
        <v>Reorder</v>
      </c>
    </row>
    <row r="13" spans="1:7" x14ac:dyDescent="0.25">
      <c r="A13" s="2" t="s">
        <v>824</v>
      </c>
      <c r="B13" s="2">
        <v>600</v>
      </c>
      <c r="C13" s="2">
        <v>750</v>
      </c>
      <c r="D13" s="2">
        <v>3</v>
      </c>
      <c r="E13" s="2">
        <v>0</v>
      </c>
      <c r="F13" s="2">
        <f t="shared" si="0"/>
        <v>3</v>
      </c>
      <c r="G13" s="2" t="str">
        <f t="shared" si="1"/>
        <v>Available</v>
      </c>
    </row>
    <row r="14" spans="1:7" x14ac:dyDescent="0.25">
      <c r="A14" s="2" t="s">
        <v>893</v>
      </c>
      <c r="B14" s="2">
        <v>230</v>
      </c>
      <c r="C14" s="2">
        <v>300</v>
      </c>
      <c r="D14" s="2">
        <v>6</v>
      </c>
      <c r="E14" s="2">
        <v>3</v>
      </c>
      <c r="F14" s="2">
        <f t="shared" si="0"/>
        <v>3</v>
      </c>
      <c r="G14" s="2" t="str">
        <f t="shared" si="1"/>
        <v>Available</v>
      </c>
    </row>
    <row r="15" spans="1:7" x14ac:dyDescent="0.25">
      <c r="A15" s="2" t="s">
        <v>626</v>
      </c>
      <c r="B15" s="2">
        <v>500</v>
      </c>
      <c r="C15" s="2">
        <v>600</v>
      </c>
      <c r="D15" s="2">
        <v>2</v>
      </c>
      <c r="E15" s="2">
        <v>1</v>
      </c>
      <c r="F15" s="2">
        <f t="shared" si="0"/>
        <v>1</v>
      </c>
      <c r="G15" s="2" t="str">
        <f>IF(F15&lt;=1,"Reorder","Available")</f>
        <v>Reorder</v>
      </c>
    </row>
    <row r="16" spans="1:7" x14ac:dyDescent="0.25">
      <c r="A16" s="2" t="s">
        <v>587</v>
      </c>
      <c r="B16" s="2">
        <v>1020</v>
      </c>
      <c r="C16" s="2">
        <v>1100</v>
      </c>
      <c r="D16" s="2">
        <v>2</v>
      </c>
      <c r="E16" s="2">
        <v>2</v>
      </c>
      <c r="F16" s="2">
        <f t="shared" si="0"/>
        <v>0</v>
      </c>
      <c r="G16" s="2" t="str">
        <f t="shared" si="1"/>
        <v>Reorder</v>
      </c>
    </row>
    <row r="17" spans="1:7" ht="44.25" customHeight="1" x14ac:dyDescent="0.25">
      <c r="A17" s="71" t="s">
        <v>243</v>
      </c>
      <c r="B17" s="72"/>
      <c r="C17" s="72"/>
      <c r="D17" s="72"/>
      <c r="E17" s="72"/>
    </row>
    <row r="18" spans="1:7" s="7" customFormat="1" ht="61.5" customHeight="1" x14ac:dyDescent="0.25">
      <c r="A18" s="4" t="s">
        <v>65</v>
      </c>
      <c r="B18" s="5" t="s">
        <v>60</v>
      </c>
      <c r="C18" s="5" t="s">
        <v>62</v>
      </c>
      <c r="D18" s="5" t="s">
        <v>634</v>
      </c>
      <c r="E18" s="5" t="s">
        <v>635</v>
      </c>
      <c r="F18" s="5" t="s">
        <v>641</v>
      </c>
      <c r="G18" s="9" t="s">
        <v>638</v>
      </c>
    </row>
    <row r="19" spans="1:7" ht="15" customHeight="1" x14ac:dyDescent="0.25">
      <c r="A19" s="2" t="s">
        <v>244</v>
      </c>
      <c r="B19" s="2">
        <v>420</v>
      </c>
      <c r="C19" s="2">
        <v>550</v>
      </c>
      <c r="D19" s="2">
        <v>1</v>
      </c>
      <c r="E19" s="2">
        <v>1</v>
      </c>
      <c r="F19" s="2">
        <f>D19-E19</f>
        <v>0</v>
      </c>
      <c r="G19" s="2" t="str">
        <f>IF(F19&lt;=0,"Reorder","Available")</f>
        <v>Reorder</v>
      </c>
    </row>
    <row r="20" spans="1:7" x14ac:dyDescent="0.25">
      <c r="A20" s="2" t="s">
        <v>245</v>
      </c>
      <c r="B20" s="2">
        <v>350</v>
      </c>
      <c r="C20" s="2">
        <v>400</v>
      </c>
      <c r="D20" s="2">
        <v>1</v>
      </c>
      <c r="E20" s="2">
        <v>1</v>
      </c>
      <c r="F20" s="2">
        <f t="shared" ref="F20:F26" si="2">D20-E20</f>
        <v>0</v>
      </c>
      <c r="G20" s="2" t="str">
        <f t="shared" ref="G20:G26" si="3">IF(F20&lt;=0,"Reorder","Available")</f>
        <v>Reorder</v>
      </c>
    </row>
    <row r="21" spans="1:7" x14ac:dyDescent="0.25">
      <c r="A21" s="2" t="s">
        <v>12</v>
      </c>
      <c r="B21" s="2">
        <v>405</v>
      </c>
      <c r="C21" s="2">
        <v>450</v>
      </c>
      <c r="D21" s="2">
        <v>2</v>
      </c>
      <c r="E21" s="2">
        <v>0</v>
      </c>
      <c r="F21" s="2">
        <f t="shared" si="2"/>
        <v>2</v>
      </c>
      <c r="G21" s="2" t="str">
        <f t="shared" si="3"/>
        <v>Available</v>
      </c>
    </row>
    <row r="22" spans="1:7" x14ac:dyDescent="0.25">
      <c r="A22" s="2" t="s">
        <v>6</v>
      </c>
      <c r="B22" s="2">
        <v>770</v>
      </c>
      <c r="C22" s="2">
        <v>950</v>
      </c>
      <c r="D22" s="2">
        <v>2</v>
      </c>
      <c r="E22" s="2">
        <v>0</v>
      </c>
      <c r="F22" s="2">
        <f t="shared" si="2"/>
        <v>2</v>
      </c>
      <c r="G22" s="2" t="str">
        <f t="shared" si="3"/>
        <v>Available</v>
      </c>
    </row>
    <row r="23" spans="1:7" x14ac:dyDescent="0.25">
      <c r="A23" s="2" t="s">
        <v>432</v>
      </c>
      <c r="B23" s="2">
        <v>750</v>
      </c>
      <c r="C23" s="2">
        <v>780</v>
      </c>
      <c r="D23" s="2">
        <v>1</v>
      </c>
      <c r="E23" s="2">
        <v>0</v>
      </c>
      <c r="F23" s="2">
        <f t="shared" si="2"/>
        <v>1</v>
      </c>
      <c r="G23" s="2" t="str">
        <f t="shared" si="3"/>
        <v>Available</v>
      </c>
    </row>
    <row r="24" spans="1:7" x14ac:dyDescent="0.25">
      <c r="A24" s="2" t="s">
        <v>179</v>
      </c>
      <c r="B24" s="2">
        <v>450</v>
      </c>
      <c r="C24" s="2">
        <v>550</v>
      </c>
      <c r="D24" s="2">
        <v>1</v>
      </c>
      <c r="E24" s="2">
        <v>0</v>
      </c>
      <c r="F24" s="2">
        <f t="shared" si="2"/>
        <v>1</v>
      </c>
      <c r="G24" s="2" t="str">
        <f t="shared" si="3"/>
        <v>Available</v>
      </c>
    </row>
    <row r="25" spans="1:7" x14ac:dyDescent="0.25">
      <c r="A25" s="2" t="s">
        <v>825</v>
      </c>
      <c r="D25" s="2">
        <v>1</v>
      </c>
      <c r="E25" s="2">
        <v>0</v>
      </c>
      <c r="F25" s="2">
        <f t="shared" si="2"/>
        <v>1</v>
      </c>
      <c r="G25" s="2" t="str">
        <f t="shared" si="3"/>
        <v>Available</v>
      </c>
    </row>
    <row r="26" spans="1:7" x14ac:dyDescent="0.25">
      <c r="A26" s="2" t="s">
        <v>5</v>
      </c>
      <c r="B26" s="2">
        <v>750</v>
      </c>
      <c r="C26" s="2">
        <v>950</v>
      </c>
      <c r="D26" s="2">
        <v>1</v>
      </c>
      <c r="E26" s="2">
        <v>0</v>
      </c>
      <c r="F26" s="2">
        <f t="shared" si="2"/>
        <v>1</v>
      </c>
      <c r="G26" s="2" t="str">
        <f t="shared" si="3"/>
        <v>Available</v>
      </c>
    </row>
  </sheetData>
  <mergeCells count="2">
    <mergeCell ref="A1:E1"/>
    <mergeCell ref="A17:E17"/>
  </mergeCells>
  <conditionalFormatting sqref="C19:C27 A2:C2 B11:B16 C11:C15 B3:C10 B19:B26 A1:E1 A3:A16">
    <cfRule type="expression" dxfId="505" priority="7">
      <formula>ROW()=CELL(ROW)</formula>
    </cfRule>
  </conditionalFormatting>
  <conditionalFormatting sqref="A17:E17 A18:C18">
    <cfRule type="expression" dxfId="504" priority="6">
      <formula>ROW()=CELL(ROW)</formula>
    </cfRule>
  </conditionalFormatting>
  <conditionalFormatting sqref="D2">
    <cfRule type="expression" dxfId="503" priority="5">
      <formula>ROW()=CELL(ROW)</formula>
    </cfRule>
  </conditionalFormatting>
  <conditionalFormatting sqref="G2">
    <cfRule type="containsText" dxfId="502" priority="4" operator="containsText" text="Reorder ">
      <formula>NOT(ISERROR(SEARCH("Reorder ",G2)))</formula>
    </cfRule>
  </conditionalFormatting>
  <conditionalFormatting sqref="D18">
    <cfRule type="expression" dxfId="501" priority="3">
      <formula>ROW()=CELL(ROW)</formula>
    </cfRule>
  </conditionalFormatting>
  <conditionalFormatting sqref="G1:G1048576">
    <cfRule type="containsText" dxfId="500" priority="1" operator="containsText" text="Reorder">
      <formula>NOT(ISERROR(SEARCH("Reorder",G1)))</formula>
    </cfRule>
  </conditionalFormatting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"/>
  <sheetViews>
    <sheetView workbookViewId="0">
      <selection sqref="A1:E1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7.5703125" style="3" customWidth="1"/>
    <col min="5" max="5" width="13.42578125" style="3" customWidth="1"/>
    <col min="6" max="16384" width="9.140625" style="3"/>
  </cols>
  <sheetData>
    <row r="1" spans="1:5" ht="44.25" customHeight="1" x14ac:dyDescent="0.25">
      <c r="A1" s="71" t="s">
        <v>246</v>
      </c>
      <c r="B1" s="72"/>
      <c r="C1" s="72"/>
      <c r="D1" s="72"/>
      <c r="E1" s="72"/>
    </row>
    <row r="2" spans="1:5" s="6" customFormat="1" ht="61.5" customHeight="1" x14ac:dyDescent="0.25">
      <c r="A2" s="4" t="s">
        <v>65</v>
      </c>
      <c r="B2" s="5" t="s">
        <v>60</v>
      </c>
      <c r="C2" s="5" t="s">
        <v>62</v>
      </c>
      <c r="D2" s="3"/>
    </row>
    <row r="3" spans="1:5" ht="15" customHeight="1" x14ac:dyDescent="0.25">
      <c r="A3" s="7" t="s">
        <v>248</v>
      </c>
      <c r="B3" s="2">
        <v>780</v>
      </c>
      <c r="C3" s="2">
        <v>880</v>
      </c>
    </row>
    <row r="4" spans="1:5" ht="15" customHeight="1" x14ac:dyDescent="0.25">
      <c r="A4" s="7" t="s">
        <v>249</v>
      </c>
      <c r="B4" s="2">
        <v>725</v>
      </c>
      <c r="C4" s="2">
        <v>825</v>
      </c>
    </row>
    <row r="5" spans="1:5" ht="15" customHeight="1" x14ac:dyDescent="0.25">
      <c r="A5" s="7" t="s">
        <v>250</v>
      </c>
      <c r="B5" s="2">
        <v>800</v>
      </c>
      <c r="C5" s="2">
        <v>900</v>
      </c>
    </row>
    <row r="6" spans="1:5" ht="15" customHeight="1" x14ac:dyDescent="0.25">
      <c r="A6" s="7" t="s">
        <v>109</v>
      </c>
      <c r="B6" s="2">
        <v>1290</v>
      </c>
      <c r="C6" s="2">
        <v>1450</v>
      </c>
    </row>
    <row r="7" spans="1:5" ht="15" customHeight="1" x14ac:dyDescent="0.25">
      <c r="A7" s="7" t="s">
        <v>251</v>
      </c>
      <c r="B7" s="2">
        <v>1240</v>
      </c>
      <c r="C7" s="2">
        <v>1405</v>
      </c>
    </row>
    <row r="8" spans="1:5" ht="15" customHeight="1" x14ac:dyDescent="0.25">
      <c r="A8" s="7" t="s">
        <v>234</v>
      </c>
      <c r="B8" s="2">
        <v>1040</v>
      </c>
      <c r="C8" s="2">
        <v>1240</v>
      </c>
    </row>
    <row r="9" spans="1:5" ht="15" customHeight="1" x14ac:dyDescent="0.25">
      <c r="A9" s="7" t="s">
        <v>111</v>
      </c>
      <c r="B9" s="2">
        <v>525</v>
      </c>
      <c r="C9" s="2">
        <v>675</v>
      </c>
    </row>
    <row r="10" spans="1:5" ht="15" customHeight="1" x14ac:dyDescent="0.25">
      <c r="A10" s="7" t="s">
        <v>252</v>
      </c>
      <c r="B10" s="2">
        <v>880</v>
      </c>
      <c r="C10" s="2">
        <v>980</v>
      </c>
    </row>
    <row r="11" spans="1:5" ht="15" customHeight="1" x14ac:dyDescent="0.25">
      <c r="A11" s="7"/>
    </row>
    <row r="13" spans="1:5" ht="44.25" customHeight="1" x14ac:dyDescent="0.25">
      <c r="A13" s="71" t="s">
        <v>247</v>
      </c>
      <c r="B13" s="72"/>
      <c r="C13" s="72"/>
      <c r="D13" s="72"/>
      <c r="E13" s="72"/>
    </row>
    <row r="14" spans="1:5" s="6" customFormat="1" ht="61.5" customHeight="1" x14ac:dyDescent="0.25">
      <c r="A14" s="4" t="s">
        <v>65</v>
      </c>
      <c r="B14" s="5" t="s">
        <v>60</v>
      </c>
      <c r="C14" s="5" t="s">
        <v>62</v>
      </c>
      <c r="D14" s="3"/>
    </row>
    <row r="15" spans="1:5" ht="15" customHeight="1" x14ac:dyDescent="0.25">
      <c r="A15" s="2" t="s">
        <v>253</v>
      </c>
      <c r="B15" s="2">
        <v>1250</v>
      </c>
      <c r="C15" s="2">
        <v>1575</v>
      </c>
    </row>
    <row r="16" spans="1:5" x14ac:dyDescent="0.25">
      <c r="A16" s="2" t="s">
        <v>254</v>
      </c>
      <c r="B16" s="2">
        <v>1350</v>
      </c>
      <c r="C16" s="2">
        <v>1550</v>
      </c>
    </row>
    <row r="17" spans="1:3" x14ac:dyDescent="0.25">
      <c r="A17" s="2" t="s">
        <v>255</v>
      </c>
      <c r="B17" s="2">
        <v>620</v>
      </c>
      <c r="C17" s="2">
        <v>750</v>
      </c>
    </row>
    <row r="18" spans="1:3" x14ac:dyDescent="0.25">
      <c r="A18" s="2" t="s">
        <v>256</v>
      </c>
      <c r="B18" s="2">
        <v>1490</v>
      </c>
      <c r="C18" s="2">
        <v>1580</v>
      </c>
    </row>
    <row r="19" spans="1:3" x14ac:dyDescent="0.25">
      <c r="A19" s="2" t="s">
        <v>257</v>
      </c>
      <c r="B19" s="2">
        <v>620</v>
      </c>
      <c r="C19" s="2">
        <v>750</v>
      </c>
    </row>
    <row r="20" spans="1:3" x14ac:dyDescent="0.25">
      <c r="A20" s="2" t="s">
        <v>258</v>
      </c>
      <c r="B20" s="2">
        <v>480</v>
      </c>
      <c r="C20" s="2">
        <v>600</v>
      </c>
    </row>
  </sheetData>
  <mergeCells count="2">
    <mergeCell ref="A1:E1"/>
    <mergeCell ref="A13:E13"/>
  </mergeCells>
  <conditionalFormatting sqref="C15:C23 A2:D2 B15:B22 A3:C11 A12:B12 A1:E1">
    <cfRule type="expression" dxfId="499" priority="2">
      <formula>ROW()=CELL(ROW)</formula>
    </cfRule>
  </conditionalFormatting>
  <conditionalFormatting sqref="A13:E13 A14:D14">
    <cfRule type="expression" dxfId="498" priority="1">
      <formula>ROW()=CELL(ROW)</formula>
    </cfRule>
  </conditionalFormatting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6"/>
  <sheetViews>
    <sheetView topLeftCell="C1" workbookViewId="0">
      <selection activeCell="H7" sqref="H7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1.28515625" style="2" bestFit="1" customWidth="1"/>
    <col min="5" max="5" width="8.5703125" style="2" bestFit="1" customWidth="1"/>
    <col min="6" max="6" width="18.7109375" style="7" customWidth="1"/>
    <col min="7" max="7" width="11.42578125" style="7" bestFit="1" customWidth="1"/>
    <col min="8" max="16384" width="9.140625" style="2"/>
  </cols>
  <sheetData>
    <row r="1" spans="1:7" ht="44.25" customHeight="1" x14ac:dyDescent="0.25">
      <c r="A1" s="71" t="s">
        <v>259</v>
      </c>
      <c r="B1" s="72"/>
      <c r="C1" s="72"/>
      <c r="D1" s="72"/>
      <c r="E1" s="72"/>
    </row>
    <row r="2" spans="1:7" s="7" customFormat="1" ht="61.5" customHeight="1" x14ac:dyDescent="0.25">
      <c r="A2" s="4" t="s">
        <v>65</v>
      </c>
      <c r="B2" s="5" t="s">
        <v>60</v>
      </c>
      <c r="C2" s="5" t="s">
        <v>62</v>
      </c>
      <c r="D2" s="5" t="s">
        <v>634</v>
      </c>
      <c r="E2" s="5" t="s">
        <v>635</v>
      </c>
      <c r="F2" s="5" t="s">
        <v>641</v>
      </c>
      <c r="G2" s="5" t="s">
        <v>638</v>
      </c>
    </row>
    <row r="3" spans="1:7" ht="15" customHeight="1" x14ac:dyDescent="0.25">
      <c r="A3" s="7" t="s">
        <v>248</v>
      </c>
      <c r="B3" s="2">
        <v>140</v>
      </c>
      <c r="C3" s="2">
        <v>200</v>
      </c>
      <c r="D3" s="2">
        <v>17</v>
      </c>
      <c r="E3" s="2">
        <v>5</v>
      </c>
      <c r="F3" s="7">
        <f>D3-E3</f>
        <v>12</v>
      </c>
      <c r="G3" s="7" t="str">
        <f>IF(F3&lt;=1,"Reorder","Available")</f>
        <v>Available</v>
      </c>
    </row>
    <row r="4" spans="1:7" ht="15" customHeight="1" x14ac:dyDescent="0.25">
      <c r="A4" s="7" t="s">
        <v>109</v>
      </c>
      <c r="B4" s="2">
        <v>230</v>
      </c>
      <c r="C4" s="2">
        <v>280</v>
      </c>
      <c r="D4" s="2">
        <v>4</v>
      </c>
      <c r="E4" s="2">
        <v>2</v>
      </c>
      <c r="F4" s="7">
        <f>D4-E4</f>
        <v>2</v>
      </c>
      <c r="G4" s="7" t="str">
        <f>IF(F4&lt;=1,"Reorder","Available")</f>
        <v>Available</v>
      </c>
    </row>
    <row r="5" spans="1:7" ht="15" customHeight="1" x14ac:dyDescent="0.25">
      <c r="A5" s="7" t="s">
        <v>260</v>
      </c>
      <c r="B5" s="2">
        <v>130</v>
      </c>
      <c r="C5" s="2">
        <v>170</v>
      </c>
      <c r="D5" s="2">
        <v>2</v>
      </c>
      <c r="E5" s="2">
        <v>0</v>
      </c>
      <c r="F5" s="7">
        <f t="shared" ref="F5:F11" si="0">D5-E5</f>
        <v>2</v>
      </c>
      <c r="G5" s="7" t="str">
        <f t="shared" ref="G5:G11" si="1">IF(F5&lt;=1,"Reorder","Available")</f>
        <v>Available</v>
      </c>
    </row>
    <row r="6" spans="1:7" ht="15" customHeight="1" x14ac:dyDescent="0.25">
      <c r="A6" s="7" t="s">
        <v>138</v>
      </c>
      <c r="B6" s="2">
        <v>130</v>
      </c>
      <c r="C6" s="2">
        <v>170</v>
      </c>
      <c r="D6" s="2">
        <v>9</v>
      </c>
      <c r="E6" s="2">
        <v>2</v>
      </c>
      <c r="F6" s="7">
        <f t="shared" si="0"/>
        <v>7</v>
      </c>
      <c r="G6" s="7" t="str">
        <f t="shared" si="1"/>
        <v>Available</v>
      </c>
    </row>
    <row r="7" spans="1:7" ht="15" customHeight="1" x14ac:dyDescent="0.25">
      <c r="A7" s="7" t="s">
        <v>826</v>
      </c>
      <c r="B7" s="2">
        <v>130</v>
      </c>
      <c r="C7" s="2">
        <v>170</v>
      </c>
      <c r="D7" s="2">
        <v>5</v>
      </c>
      <c r="E7" s="2">
        <v>0</v>
      </c>
      <c r="F7" s="7">
        <f t="shared" si="0"/>
        <v>5</v>
      </c>
      <c r="G7" s="7" t="str">
        <f t="shared" si="1"/>
        <v>Available</v>
      </c>
    </row>
    <row r="8" spans="1:7" ht="15" customHeight="1" x14ac:dyDescent="0.25">
      <c r="A8" s="7" t="s">
        <v>568</v>
      </c>
      <c r="B8" s="2">
        <v>80</v>
      </c>
      <c r="C8" s="2">
        <v>130</v>
      </c>
      <c r="D8" s="2">
        <v>18</v>
      </c>
      <c r="E8" s="2">
        <v>7</v>
      </c>
      <c r="F8" s="7">
        <f t="shared" si="0"/>
        <v>11</v>
      </c>
      <c r="G8" s="7" t="str">
        <f t="shared" si="1"/>
        <v>Available</v>
      </c>
    </row>
    <row r="9" spans="1:7" ht="15" customHeight="1" x14ac:dyDescent="0.25">
      <c r="A9" s="7" t="s">
        <v>12</v>
      </c>
      <c r="B9" s="2">
        <v>100</v>
      </c>
      <c r="C9" s="2">
        <v>150</v>
      </c>
      <c r="D9" s="2">
        <v>10</v>
      </c>
      <c r="E9" s="2">
        <v>3</v>
      </c>
      <c r="F9" s="7">
        <f t="shared" si="0"/>
        <v>7</v>
      </c>
      <c r="G9" s="7" t="str">
        <f t="shared" si="1"/>
        <v>Available</v>
      </c>
    </row>
    <row r="10" spans="1:7" ht="15" customHeight="1" x14ac:dyDescent="0.25">
      <c r="A10" s="7" t="s">
        <v>118</v>
      </c>
      <c r="B10" s="2">
        <v>250</v>
      </c>
      <c r="C10" s="2">
        <v>300</v>
      </c>
      <c r="D10" s="2">
        <v>4</v>
      </c>
      <c r="E10" s="2">
        <v>0</v>
      </c>
      <c r="F10" s="7">
        <f t="shared" si="0"/>
        <v>4</v>
      </c>
      <c r="G10" s="7" t="str">
        <f t="shared" si="1"/>
        <v>Available</v>
      </c>
    </row>
    <row r="11" spans="1:7" ht="15" customHeight="1" x14ac:dyDescent="0.25">
      <c r="A11" s="7" t="s">
        <v>251</v>
      </c>
      <c r="B11" s="2">
        <v>160</v>
      </c>
      <c r="C11" s="2">
        <v>200</v>
      </c>
      <c r="D11" s="2">
        <v>3</v>
      </c>
      <c r="E11" s="2">
        <v>0</v>
      </c>
      <c r="F11" s="7">
        <f t="shared" si="0"/>
        <v>3</v>
      </c>
      <c r="G11" s="7" t="str">
        <f t="shared" si="1"/>
        <v>Available</v>
      </c>
    </row>
    <row r="12" spans="1:7" ht="15" customHeight="1" x14ac:dyDescent="0.25">
      <c r="A12" s="7"/>
    </row>
    <row r="13" spans="1:7" ht="15" customHeight="1" x14ac:dyDescent="0.25">
      <c r="A13" s="7"/>
    </row>
    <row r="14" spans="1:7" ht="15.75" customHeight="1" x14ac:dyDescent="0.25"/>
    <row r="15" spans="1:7" ht="15" customHeight="1" x14ac:dyDescent="0.25">
      <c r="A15" s="31"/>
      <c r="B15" s="7"/>
      <c r="C15" s="7"/>
      <c r="D15" s="7"/>
      <c r="E15" s="7"/>
    </row>
    <row r="16" spans="1:7" s="7" customFormat="1" ht="15" customHeight="1" x14ac:dyDescent="0.25">
      <c r="A16" s="4"/>
      <c r="B16" s="5"/>
      <c r="C16" s="5"/>
      <c r="D16" s="2"/>
    </row>
  </sheetData>
  <mergeCells count="1">
    <mergeCell ref="A1:E1"/>
  </mergeCells>
  <conditionalFormatting sqref="C17:C25 B17:B24 A14:B14 A1:E1 A2:C13">
    <cfRule type="expression" dxfId="497" priority="6">
      <formula>ROW()=CELL(ROW)</formula>
    </cfRule>
  </conditionalFormatting>
  <conditionalFormatting sqref="A15:E15 A16:D16">
    <cfRule type="expression" dxfId="496" priority="5">
      <formula>ROW()=CELL(ROW)</formula>
    </cfRule>
  </conditionalFormatting>
  <conditionalFormatting sqref="D2">
    <cfRule type="expression" dxfId="495" priority="4">
      <formula>ROW()=CELL(ROW)</formula>
    </cfRule>
  </conditionalFormatting>
  <conditionalFormatting sqref="G2">
    <cfRule type="containsText" dxfId="494" priority="3" operator="containsText" text="Reorder ">
      <formula>NOT(ISERROR(SEARCH("Reorder ",G2)))</formula>
    </cfRule>
  </conditionalFormatting>
  <conditionalFormatting sqref="G2">
    <cfRule type="containsText" dxfId="493" priority="2" operator="containsText" text="Reorder">
      <formula>NOT(ISERROR(SEARCH("Reorder",G2)))</formula>
    </cfRule>
  </conditionalFormatting>
  <conditionalFormatting sqref="G1:G1048576">
    <cfRule type="containsText" dxfId="492" priority="1" operator="containsText" text="Reorder">
      <formula>NOT(ISERROR(SEARCH("Reorder",G1)))</formula>
    </cfRule>
  </conditionalFormatting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1"/>
  <sheetViews>
    <sheetView zoomScaleNormal="100" workbookViewId="0">
      <selection activeCell="E6" sqref="E6"/>
    </sheetView>
  </sheetViews>
  <sheetFormatPr defaultRowHeight="15" x14ac:dyDescent="0.25"/>
  <cols>
    <col min="1" max="1" width="9.140625" style="2"/>
    <col min="2" max="2" width="30.28515625" style="2" customWidth="1"/>
    <col min="3" max="3" width="18.85546875" style="2" customWidth="1"/>
    <col min="4" max="4" width="18.5703125" style="2" customWidth="1"/>
    <col min="5" max="5" width="11.28515625" style="2" bestFit="1" customWidth="1"/>
    <col min="6" max="6" width="8.5703125" style="2" bestFit="1" customWidth="1"/>
    <col min="7" max="7" width="16.140625" style="2" customWidth="1"/>
    <col min="8" max="8" width="11.42578125" style="2" bestFit="1" customWidth="1"/>
    <col min="9" max="16384" width="9.140625" style="2"/>
  </cols>
  <sheetData>
    <row r="1" spans="1:8" ht="44.25" customHeight="1" x14ac:dyDescent="0.25">
      <c r="B1" s="71" t="s">
        <v>261</v>
      </c>
      <c r="C1" s="72"/>
      <c r="D1" s="72"/>
      <c r="E1" s="72"/>
      <c r="F1" s="72"/>
    </row>
    <row r="2" spans="1:8" s="7" customFormat="1" ht="61.5" customHeight="1" x14ac:dyDescent="0.25">
      <c r="B2" s="4" t="s">
        <v>65</v>
      </c>
      <c r="C2" s="5" t="s">
        <v>60</v>
      </c>
      <c r="D2" s="5" t="s">
        <v>62</v>
      </c>
      <c r="E2" s="5" t="s">
        <v>634</v>
      </c>
      <c r="F2" s="5" t="s">
        <v>635</v>
      </c>
      <c r="G2" s="5" t="s">
        <v>641</v>
      </c>
      <c r="H2" s="5" t="s">
        <v>638</v>
      </c>
    </row>
    <row r="3" spans="1:8" ht="15" customHeight="1" x14ac:dyDescent="0.25">
      <c r="A3" s="91" t="s">
        <v>281</v>
      </c>
      <c r="B3" s="7" t="s">
        <v>262</v>
      </c>
      <c r="C3" s="2">
        <v>670</v>
      </c>
      <c r="D3" s="2">
        <v>800</v>
      </c>
      <c r="E3" s="2">
        <v>2</v>
      </c>
      <c r="F3" s="2">
        <v>1</v>
      </c>
      <c r="G3" s="2">
        <f>E3-F3</f>
        <v>1</v>
      </c>
      <c r="H3" s="2" t="str">
        <f>IF(G3&lt;=0,"Reorder","Available")</f>
        <v>Available</v>
      </c>
    </row>
    <row r="4" spans="1:8" ht="15" customHeight="1" x14ac:dyDescent="0.25">
      <c r="A4" s="92"/>
      <c r="B4" s="7" t="s">
        <v>263</v>
      </c>
      <c r="C4" s="2">
        <v>760</v>
      </c>
      <c r="D4" s="2">
        <v>850</v>
      </c>
      <c r="E4" s="2">
        <v>2</v>
      </c>
      <c r="F4" s="2">
        <v>2</v>
      </c>
      <c r="G4" s="2">
        <f t="shared" ref="G4:G26" si="0">E4-F4</f>
        <v>0</v>
      </c>
      <c r="H4" s="2" t="str">
        <f t="shared" ref="H4:H22" si="1">IF(G4&lt;=0,"Reorder","Available")</f>
        <v>Reorder</v>
      </c>
    </row>
    <row r="5" spans="1:8" ht="15" customHeight="1" x14ac:dyDescent="0.25">
      <c r="A5" s="92"/>
      <c r="B5" s="7" t="s">
        <v>266</v>
      </c>
      <c r="C5" s="2">
        <v>935</v>
      </c>
      <c r="D5" s="2">
        <v>1005</v>
      </c>
      <c r="E5" s="2">
        <v>2</v>
      </c>
      <c r="F5" s="2">
        <v>1</v>
      </c>
      <c r="G5" s="2">
        <f t="shared" si="0"/>
        <v>1</v>
      </c>
      <c r="H5" s="2" t="str">
        <f t="shared" si="1"/>
        <v>Available</v>
      </c>
    </row>
    <row r="6" spans="1:8" ht="15" customHeight="1" x14ac:dyDescent="0.25">
      <c r="A6" s="92"/>
      <c r="B6" s="7" t="s">
        <v>270</v>
      </c>
      <c r="C6" s="2">
        <v>750</v>
      </c>
      <c r="D6" s="2">
        <v>800</v>
      </c>
      <c r="E6" s="2">
        <v>4</v>
      </c>
      <c r="F6" s="2">
        <v>1</v>
      </c>
      <c r="G6" s="2">
        <f t="shared" si="0"/>
        <v>3</v>
      </c>
      <c r="H6" s="2" t="str">
        <f t="shared" si="1"/>
        <v>Available</v>
      </c>
    </row>
    <row r="7" spans="1:8" ht="15" customHeight="1" x14ac:dyDescent="0.25">
      <c r="A7" s="92"/>
      <c r="B7" s="7" t="s">
        <v>271</v>
      </c>
      <c r="C7" s="2">
        <v>750</v>
      </c>
      <c r="D7" s="2">
        <v>800</v>
      </c>
      <c r="E7" s="2">
        <v>4</v>
      </c>
      <c r="F7" s="2">
        <v>1</v>
      </c>
      <c r="G7" s="2">
        <f t="shared" si="0"/>
        <v>3</v>
      </c>
      <c r="H7" s="2" t="str">
        <f t="shared" si="1"/>
        <v>Available</v>
      </c>
    </row>
    <row r="8" spans="1:8" ht="15" customHeight="1" x14ac:dyDescent="0.25">
      <c r="A8" s="92"/>
      <c r="B8" s="7" t="s">
        <v>275</v>
      </c>
      <c r="C8" s="2">
        <v>810</v>
      </c>
      <c r="D8" s="2">
        <v>900</v>
      </c>
      <c r="E8" s="2">
        <v>1</v>
      </c>
      <c r="F8" s="2">
        <v>0</v>
      </c>
      <c r="G8" s="2">
        <f t="shared" si="0"/>
        <v>1</v>
      </c>
      <c r="H8" s="2" t="str">
        <f t="shared" si="1"/>
        <v>Available</v>
      </c>
    </row>
    <row r="9" spans="1:8" ht="15" customHeight="1" x14ac:dyDescent="0.25">
      <c r="A9" s="92"/>
      <c r="B9" s="7" t="s">
        <v>274</v>
      </c>
      <c r="C9" s="2">
        <v>1310</v>
      </c>
      <c r="D9" s="2">
        <v>1500</v>
      </c>
      <c r="E9" s="2">
        <v>2</v>
      </c>
      <c r="F9" s="2">
        <v>1</v>
      </c>
      <c r="G9" s="2">
        <f t="shared" si="0"/>
        <v>1</v>
      </c>
      <c r="H9" s="2" t="str">
        <f t="shared" si="1"/>
        <v>Available</v>
      </c>
    </row>
    <row r="10" spans="1:8" ht="15" customHeight="1" x14ac:dyDescent="0.25">
      <c r="A10" s="92"/>
      <c r="B10" s="7" t="s">
        <v>264</v>
      </c>
      <c r="C10" s="2">
        <v>630</v>
      </c>
      <c r="D10" s="2">
        <v>700</v>
      </c>
      <c r="E10" s="2">
        <v>6</v>
      </c>
      <c r="F10" s="2">
        <v>2</v>
      </c>
      <c r="G10" s="2">
        <f t="shared" si="0"/>
        <v>4</v>
      </c>
      <c r="H10" s="2" t="str">
        <f t="shared" si="1"/>
        <v>Available</v>
      </c>
    </row>
    <row r="11" spans="1:8" ht="15" customHeight="1" x14ac:dyDescent="0.25">
      <c r="A11" s="92"/>
      <c r="B11" s="7" t="s">
        <v>273</v>
      </c>
      <c r="C11" s="2">
        <v>740</v>
      </c>
      <c r="D11" s="2">
        <v>850</v>
      </c>
      <c r="E11" s="2">
        <v>3</v>
      </c>
      <c r="F11" s="2">
        <v>0</v>
      </c>
      <c r="G11" s="2">
        <f t="shared" si="0"/>
        <v>3</v>
      </c>
      <c r="H11" s="2" t="str">
        <f t="shared" si="1"/>
        <v>Available</v>
      </c>
    </row>
    <row r="12" spans="1:8" ht="15" customHeight="1" x14ac:dyDescent="0.25">
      <c r="A12" s="92"/>
      <c r="B12" s="7" t="s">
        <v>265</v>
      </c>
      <c r="C12" s="2">
        <v>760</v>
      </c>
      <c r="D12" s="2">
        <v>850</v>
      </c>
      <c r="E12" s="2">
        <v>1</v>
      </c>
      <c r="F12" s="2">
        <v>0</v>
      </c>
      <c r="G12" s="2">
        <f t="shared" si="0"/>
        <v>1</v>
      </c>
      <c r="H12" s="2" t="str">
        <f t="shared" si="1"/>
        <v>Available</v>
      </c>
    </row>
    <row r="13" spans="1:8" ht="15" customHeight="1" x14ac:dyDescent="0.25">
      <c r="A13" s="92"/>
      <c r="B13" s="7" t="s">
        <v>267</v>
      </c>
      <c r="C13" s="2">
        <v>735</v>
      </c>
      <c r="D13" s="2">
        <v>850</v>
      </c>
      <c r="E13" s="2">
        <v>2</v>
      </c>
      <c r="F13" s="2">
        <v>2</v>
      </c>
      <c r="G13" s="2">
        <f t="shared" si="0"/>
        <v>0</v>
      </c>
      <c r="H13" s="2" t="str">
        <f t="shared" si="1"/>
        <v>Reorder</v>
      </c>
    </row>
    <row r="14" spans="1:8" ht="15" customHeight="1" x14ac:dyDescent="0.25">
      <c r="A14" s="92"/>
      <c r="B14" s="7" t="s">
        <v>268</v>
      </c>
      <c r="C14" s="2">
        <v>830</v>
      </c>
      <c r="D14" s="2">
        <v>900</v>
      </c>
      <c r="E14" s="2">
        <v>2</v>
      </c>
      <c r="F14" s="2">
        <v>1</v>
      </c>
      <c r="G14" s="2">
        <f t="shared" si="0"/>
        <v>1</v>
      </c>
      <c r="H14" s="2" t="str">
        <f t="shared" si="1"/>
        <v>Available</v>
      </c>
    </row>
    <row r="15" spans="1:8" ht="15" customHeight="1" x14ac:dyDescent="0.25">
      <c r="A15" s="92"/>
      <c r="B15" s="7" t="s">
        <v>269</v>
      </c>
      <c r="C15" s="2">
        <v>825</v>
      </c>
      <c r="D15" s="2">
        <v>950</v>
      </c>
      <c r="E15" s="2">
        <v>2</v>
      </c>
      <c r="F15" s="2">
        <v>0</v>
      </c>
      <c r="G15" s="2">
        <f t="shared" si="0"/>
        <v>2</v>
      </c>
      <c r="H15" s="2" t="str">
        <f t="shared" si="1"/>
        <v>Available</v>
      </c>
    </row>
    <row r="16" spans="1:8" ht="15" customHeight="1" x14ac:dyDescent="0.25">
      <c r="A16" s="92"/>
      <c r="B16" s="7" t="s">
        <v>272</v>
      </c>
      <c r="C16" s="2">
        <v>700</v>
      </c>
      <c r="D16" s="2">
        <v>800</v>
      </c>
      <c r="E16" s="2">
        <v>6</v>
      </c>
      <c r="F16" s="2">
        <v>0</v>
      </c>
      <c r="G16" s="2">
        <f t="shared" si="0"/>
        <v>6</v>
      </c>
      <c r="H16" s="2" t="str">
        <f t="shared" si="1"/>
        <v>Available</v>
      </c>
    </row>
    <row r="17" spans="1:8" ht="15.75" customHeight="1" x14ac:dyDescent="0.25">
      <c r="A17" s="92"/>
      <c r="B17" s="2" t="s">
        <v>276</v>
      </c>
      <c r="C17" s="2">
        <v>745</v>
      </c>
      <c r="D17" s="2">
        <v>800</v>
      </c>
      <c r="E17" s="2">
        <v>2</v>
      </c>
      <c r="F17" s="2">
        <v>0</v>
      </c>
      <c r="G17" s="2">
        <f t="shared" si="0"/>
        <v>2</v>
      </c>
      <c r="H17" s="2" t="str">
        <f t="shared" si="1"/>
        <v>Available</v>
      </c>
    </row>
    <row r="18" spans="1:8" ht="15" customHeight="1" x14ac:dyDescent="0.25">
      <c r="A18" s="92"/>
      <c r="B18" s="7" t="s">
        <v>277</v>
      </c>
      <c r="C18" s="7">
        <v>610</v>
      </c>
      <c r="D18" s="7">
        <v>750</v>
      </c>
      <c r="E18" s="2">
        <v>2</v>
      </c>
      <c r="F18" s="2">
        <v>0</v>
      </c>
      <c r="G18" s="2">
        <f t="shared" si="0"/>
        <v>2</v>
      </c>
      <c r="H18" s="2" t="str">
        <f t="shared" si="1"/>
        <v>Available</v>
      </c>
    </row>
    <row r="19" spans="1:8" s="7" customFormat="1" ht="15" customHeight="1" x14ac:dyDescent="0.25">
      <c r="A19" s="92"/>
      <c r="B19" s="2" t="s">
        <v>285</v>
      </c>
      <c r="C19" s="2">
        <v>830</v>
      </c>
      <c r="D19" s="2">
        <v>980</v>
      </c>
      <c r="E19" s="2">
        <v>2</v>
      </c>
      <c r="F19" s="2">
        <v>1</v>
      </c>
      <c r="G19" s="2">
        <f t="shared" si="0"/>
        <v>1</v>
      </c>
      <c r="H19" s="2" t="str">
        <f t="shared" si="1"/>
        <v>Available</v>
      </c>
    </row>
    <row r="20" spans="1:8" ht="15" customHeight="1" x14ac:dyDescent="0.25">
      <c r="A20" s="92"/>
      <c r="B20" s="2" t="s">
        <v>286</v>
      </c>
      <c r="C20" s="2">
        <v>855</v>
      </c>
      <c r="D20" s="2">
        <v>955</v>
      </c>
      <c r="E20" s="2">
        <v>1</v>
      </c>
      <c r="F20" s="2">
        <v>0</v>
      </c>
      <c r="G20" s="2">
        <f t="shared" si="0"/>
        <v>1</v>
      </c>
      <c r="H20" s="2" t="str">
        <f t="shared" si="1"/>
        <v>Available</v>
      </c>
    </row>
    <row r="21" spans="1:8" ht="15" customHeight="1" x14ac:dyDescent="0.25">
      <c r="A21" s="92"/>
      <c r="B21" s="2" t="s">
        <v>287</v>
      </c>
      <c r="C21" s="2">
        <v>680</v>
      </c>
      <c r="D21" s="2">
        <v>750</v>
      </c>
      <c r="E21" s="2">
        <v>1</v>
      </c>
      <c r="F21" s="2">
        <v>0</v>
      </c>
      <c r="G21" s="2">
        <f t="shared" si="0"/>
        <v>1</v>
      </c>
      <c r="H21" s="2" t="str">
        <f t="shared" si="1"/>
        <v>Available</v>
      </c>
    </row>
    <row r="22" spans="1:8" ht="15" customHeight="1" x14ac:dyDescent="0.25">
      <c r="A22" s="93"/>
      <c r="B22" s="2" t="s">
        <v>623</v>
      </c>
      <c r="C22" s="2">
        <v>950</v>
      </c>
      <c r="D22" s="2">
        <v>1100</v>
      </c>
      <c r="E22" s="2">
        <v>0</v>
      </c>
      <c r="F22" s="2">
        <v>0</v>
      </c>
      <c r="G22" s="2">
        <f t="shared" si="0"/>
        <v>0</v>
      </c>
      <c r="H22" s="2" t="str">
        <f t="shared" si="1"/>
        <v>Reorder</v>
      </c>
    </row>
    <row r="24" spans="1:8" x14ac:dyDescent="0.25">
      <c r="A24" s="91" t="s">
        <v>282</v>
      </c>
      <c r="B24" s="2" t="s">
        <v>278</v>
      </c>
      <c r="C24" s="2">
        <v>550</v>
      </c>
      <c r="D24" s="2">
        <v>650</v>
      </c>
      <c r="E24" s="2">
        <v>0</v>
      </c>
      <c r="F24" s="2">
        <v>0</v>
      </c>
      <c r="G24" s="2">
        <f t="shared" si="0"/>
        <v>0</v>
      </c>
      <c r="H24" s="2" t="str">
        <f t="shared" ref="H24:H26" si="2">IF(G24&lt;=1,"Reorder","Available")</f>
        <v>Reorder</v>
      </c>
    </row>
    <row r="25" spans="1:8" x14ac:dyDescent="0.25">
      <c r="A25" s="92"/>
      <c r="B25" s="2" t="s">
        <v>279</v>
      </c>
      <c r="C25" s="2">
        <v>550</v>
      </c>
      <c r="D25" s="2">
        <v>650</v>
      </c>
      <c r="E25" s="2">
        <v>1</v>
      </c>
      <c r="F25" s="2">
        <v>0</v>
      </c>
      <c r="G25" s="2">
        <f t="shared" si="0"/>
        <v>1</v>
      </c>
      <c r="H25" s="2" t="str">
        <f t="shared" si="2"/>
        <v>Reorder</v>
      </c>
    </row>
    <row r="26" spans="1:8" x14ac:dyDescent="0.25">
      <c r="A26" s="93"/>
      <c r="F26" s="2">
        <v>0</v>
      </c>
      <c r="G26" s="2">
        <f t="shared" si="0"/>
        <v>0</v>
      </c>
      <c r="H26" s="2" t="str">
        <f t="shared" si="2"/>
        <v>Reorder</v>
      </c>
    </row>
    <row r="27" spans="1:8" ht="44.25" customHeight="1" x14ac:dyDescent="0.25">
      <c r="B27" s="71" t="s">
        <v>280</v>
      </c>
      <c r="C27" s="72"/>
      <c r="D27" s="72"/>
      <c r="E27" s="72"/>
      <c r="F27" s="72"/>
    </row>
    <row r="28" spans="1:8" s="7" customFormat="1" ht="61.5" customHeight="1" x14ac:dyDescent="0.25">
      <c r="B28" s="4" t="s">
        <v>65</v>
      </c>
      <c r="C28" s="5" t="s">
        <v>60</v>
      </c>
      <c r="D28" s="5" t="s">
        <v>62</v>
      </c>
      <c r="E28" s="5" t="s">
        <v>634</v>
      </c>
      <c r="F28" s="5" t="s">
        <v>635</v>
      </c>
      <c r="G28" s="5" t="s">
        <v>641</v>
      </c>
      <c r="H28" s="5" t="s">
        <v>638</v>
      </c>
    </row>
    <row r="29" spans="1:8" x14ac:dyDescent="0.25">
      <c r="B29" s="2" t="s">
        <v>283</v>
      </c>
      <c r="E29" s="2">
        <v>0</v>
      </c>
      <c r="F29" s="2">
        <v>0</v>
      </c>
      <c r="G29" s="2">
        <f>E29-F29</f>
        <v>0</v>
      </c>
      <c r="H29" s="2" t="str">
        <f>IF(G29&lt;=0,"Reorder","Available")</f>
        <v>Reorder</v>
      </c>
    </row>
    <row r="30" spans="1:8" x14ac:dyDescent="0.25">
      <c r="B30" s="2" t="s">
        <v>284</v>
      </c>
      <c r="E30" s="2">
        <v>0</v>
      </c>
      <c r="F30" s="2">
        <v>0</v>
      </c>
      <c r="G30" s="2">
        <f t="shared" ref="G30:G31" si="3">E30-F30</f>
        <v>0</v>
      </c>
      <c r="H30" s="2" t="str">
        <f t="shared" ref="H30:H31" si="4">IF(G30&lt;=0,"Reorder","Available")</f>
        <v>Reorder</v>
      </c>
    </row>
    <row r="31" spans="1:8" x14ac:dyDescent="0.25">
      <c r="B31" s="2" t="s">
        <v>617</v>
      </c>
      <c r="C31" s="2">
        <v>1550</v>
      </c>
      <c r="D31" s="2">
        <v>1700</v>
      </c>
      <c r="E31" s="2">
        <v>1</v>
      </c>
      <c r="F31" s="2">
        <v>0</v>
      </c>
      <c r="G31" s="2">
        <f t="shared" si="3"/>
        <v>1</v>
      </c>
      <c r="H31" s="2" t="str">
        <f t="shared" si="4"/>
        <v>Available</v>
      </c>
    </row>
  </sheetData>
  <mergeCells count="4">
    <mergeCell ref="B1:F1"/>
    <mergeCell ref="B27:F27"/>
    <mergeCell ref="A24:A26"/>
    <mergeCell ref="A3:A22"/>
  </mergeCells>
  <conditionalFormatting sqref="B18:D19">
    <cfRule type="expression" dxfId="491" priority="11">
      <formula>ROW()=CELL(ROW)</formula>
    </cfRule>
  </conditionalFormatting>
  <conditionalFormatting sqref="B28:D28 B27:F27">
    <cfRule type="expression" dxfId="490" priority="10">
      <formula>ROW()=CELL(ROW)</formula>
    </cfRule>
  </conditionalFormatting>
  <conditionalFormatting sqref="C20:D26 B2:D16 B17:C17 B1:F1 D29">
    <cfRule type="expression" dxfId="489" priority="12">
      <formula>ROW()=CELL(ROW)</formula>
    </cfRule>
  </conditionalFormatting>
  <conditionalFormatting sqref="E2">
    <cfRule type="expression" dxfId="488" priority="9">
      <formula>ROW()=CELL(ROW)</formula>
    </cfRule>
  </conditionalFormatting>
  <conditionalFormatting sqref="H2">
    <cfRule type="containsText" dxfId="487" priority="8" operator="containsText" text="Reorder ">
      <formula>NOT(ISERROR(SEARCH("Reorder ",H2)))</formula>
    </cfRule>
  </conditionalFormatting>
  <conditionalFormatting sqref="H2">
    <cfRule type="containsText" dxfId="486" priority="7" operator="containsText" text="Reorder">
      <formula>NOT(ISERROR(SEARCH("Reorder",H2)))</formula>
    </cfRule>
  </conditionalFormatting>
  <conditionalFormatting sqref="H2">
    <cfRule type="containsText" dxfId="485" priority="6" operator="containsText" text="Reorder">
      <formula>NOT(ISERROR(SEARCH("Reorder",H2)))</formula>
    </cfRule>
  </conditionalFormatting>
  <conditionalFormatting sqref="E28">
    <cfRule type="expression" dxfId="484" priority="5">
      <formula>ROW()=CELL(ROW)</formula>
    </cfRule>
  </conditionalFormatting>
  <conditionalFormatting sqref="H28">
    <cfRule type="containsText" dxfId="483" priority="4" operator="containsText" text="Reorder ">
      <formula>NOT(ISERROR(SEARCH("Reorder ",H28)))</formula>
    </cfRule>
  </conditionalFormatting>
  <conditionalFormatting sqref="H28">
    <cfRule type="containsText" dxfId="482" priority="3" operator="containsText" text="Reorder">
      <formula>NOT(ISERROR(SEARCH("Reorder",H28)))</formula>
    </cfRule>
  </conditionalFormatting>
  <conditionalFormatting sqref="H28">
    <cfRule type="containsText" dxfId="481" priority="2" operator="containsText" text="Reorder">
      <formula>NOT(ISERROR(SEARCH("Reorder",H28)))</formula>
    </cfRule>
  </conditionalFormatting>
  <conditionalFormatting sqref="H1:H1048576">
    <cfRule type="containsText" dxfId="480" priority="1" operator="containsText" text="Reorder">
      <formula>NOT(ISERROR(SEARCH("Reorder",H1)))</formula>
    </cfRule>
  </conditionalFormatting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4"/>
  <sheetViews>
    <sheetView workbookViewId="0">
      <selection sqref="A1:E1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1.28515625" style="2" bestFit="1" customWidth="1"/>
    <col min="5" max="5" width="8.5703125" style="2" bestFit="1" customWidth="1"/>
    <col min="6" max="6" width="16.42578125" style="2" customWidth="1"/>
    <col min="7" max="7" width="11.42578125" style="2" bestFit="1" customWidth="1"/>
    <col min="8" max="16384" width="9.140625" style="2"/>
  </cols>
  <sheetData>
    <row r="1" spans="1:7" ht="44.25" customHeight="1" x14ac:dyDescent="0.25">
      <c r="A1" s="71" t="s">
        <v>288</v>
      </c>
      <c r="B1" s="72"/>
      <c r="C1" s="72"/>
      <c r="D1" s="72"/>
      <c r="E1" s="72"/>
    </row>
    <row r="2" spans="1:7" s="7" customFormat="1" ht="61.5" customHeight="1" x14ac:dyDescent="0.25">
      <c r="A2" s="4" t="s">
        <v>65</v>
      </c>
      <c r="B2" s="5" t="s">
        <v>60</v>
      </c>
      <c r="C2" s="5" t="s">
        <v>62</v>
      </c>
      <c r="D2" s="5" t="s">
        <v>634</v>
      </c>
      <c r="E2" s="5" t="s">
        <v>635</v>
      </c>
      <c r="F2" s="5" t="s">
        <v>641</v>
      </c>
      <c r="G2" s="5" t="s">
        <v>638</v>
      </c>
    </row>
    <row r="3" spans="1:7" ht="15" customHeight="1" x14ac:dyDescent="0.25">
      <c r="A3" s="7" t="s">
        <v>16</v>
      </c>
      <c r="B3" s="2">
        <v>450</v>
      </c>
      <c r="C3" s="2">
        <v>550</v>
      </c>
      <c r="D3" s="2">
        <v>3</v>
      </c>
      <c r="E3" s="2">
        <v>2</v>
      </c>
      <c r="F3" s="2">
        <f>D3-E3</f>
        <v>1</v>
      </c>
      <c r="G3" s="2" t="str">
        <f>IF(F3&lt;=1,"Reorder","Available")</f>
        <v>Reorder</v>
      </c>
    </row>
    <row r="4" spans="1:7" ht="15" customHeight="1" x14ac:dyDescent="0.25">
      <c r="A4" s="7" t="s">
        <v>289</v>
      </c>
      <c r="B4" s="2">
        <v>450</v>
      </c>
      <c r="C4" s="2">
        <v>550</v>
      </c>
      <c r="D4" s="2">
        <v>3</v>
      </c>
      <c r="E4" s="2">
        <v>2</v>
      </c>
      <c r="F4" s="2">
        <f t="shared" ref="F4:F9" si="0">D4-E4</f>
        <v>1</v>
      </c>
      <c r="G4" s="2" t="str">
        <f t="shared" ref="G4:G9" si="1">IF(F4&lt;=1,"Reorder","Available")</f>
        <v>Reorder</v>
      </c>
    </row>
    <row r="5" spans="1:7" ht="15" customHeight="1" x14ac:dyDescent="0.25">
      <c r="A5" s="7" t="s">
        <v>961</v>
      </c>
      <c r="B5" s="2">
        <v>600</v>
      </c>
      <c r="C5" s="2">
        <v>700</v>
      </c>
      <c r="D5" s="2">
        <v>3</v>
      </c>
      <c r="E5" s="2">
        <v>3</v>
      </c>
      <c r="F5" s="2">
        <f t="shared" si="0"/>
        <v>0</v>
      </c>
      <c r="G5" s="2" t="str">
        <f t="shared" si="1"/>
        <v>Reorder</v>
      </c>
    </row>
    <row r="6" spans="1:7" ht="15" customHeight="1" x14ac:dyDescent="0.25">
      <c r="A6" s="7" t="s">
        <v>12</v>
      </c>
      <c r="B6" s="2">
        <v>550</v>
      </c>
      <c r="C6" s="2">
        <v>600</v>
      </c>
      <c r="D6" s="2">
        <v>3</v>
      </c>
      <c r="E6" s="2">
        <v>0</v>
      </c>
      <c r="F6" s="2">
        <f t="shared" si="0"/>
        <v>3</v>
      </c>
      <c r="G6" s="2" t="str">
        <f t="shared" si="1"/>
        <v>Available</v>
      </c>
    </row>
    <row r="7" spans="1:7" ht="15" customHeight="1" x14ac:dyDescent="0.25">
      <c r="A7" s="7" t="s">
        <v>53</v>
      </c>
      <c r="B7" s="2">
        <v>450</v>
      </c>
      <c r="C7" s="2">
        <v>550</v>
      </c>
      <c r="D7" s="2">
        <v>0</v>
      </c>
      <c r="E7" s="2">
        <v>0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7" t="s">
        <v>260</v>
      </c>
      <c r="B8" s="2">
        <v>480</v>
      </c>
      <c r="C8" s="2">
        <v>550</v>
      </c>
      <c r="D8" s="2">
        <v>2</v>
      </c>
      <c r="E8" s="2">
        <v>1</v>
      </c>
      <c r="F8" s="2">
        <f t="shared" si="0"/>
        <v>1</v>
      </c>
      <c r="G8" s="2" t="str">
        <f t="shared" si="1"/>
        <v>Reorder</v>
      </c>
    </row>
    <row r="9" spans="1:7" ht="15" customHeight="1" x14ac:dyDescent="0.25">
      <c r="A9" s="7" t="s">
        <v>156</v>
      </c>
      <c r="B9" s="2">
        <v>390</v>
      </c>
      <c r="C9" s="2">
        <v>480</v>
      </c>
      <c r="D9" s="2">
        <v>1</v>
      </c>
      <c r="E9" s="2">
        <v>0</v>
      </c>
      <c r="F9" s="2">
        <f t="shared" si="0"/>
        <v>1</v>
      </c>
      <c r="G9" s="2" t="str">
        <f t="shared" si="1"/>
        <v>Reorder</v>
      </c>
    </row>
    <row r="10" spans="1:7" ht="15" customHeight="1" x14ac:dyDescent="0.25">
      <c r="A10" s="7"/>
    </row>
    <row r="11" spans="1:7" ht="15" customHeight="1" x14ac:dyDescent="0.25">
      <c r="A11" s="7"/>
    </row>
    <row r="12" spans="1:7" ht="15.75" customHeight="1" x14ac:dyDescent="0.25"/>
    <row r="13" spans="1:7" ht="15" customHeight="1" x14ac:dyDescent="0.25">
      <c r="A13" s="31"/>
      <c r="B13" s="7"/>
      <c r="C13" s="7"/>
      <c r="D13" s="7"/>
      <c r="E13" s="7"/>
    </row>
    <row r="14" spans="1:7" s="7" customFormat="1" ht="15" customHeight="1" x14ac:dyDescent="0.25">
      <c r="A14" s="4"/>
      <c r="B14" s="5"/>
      <c r="C14" s="5"/>
      <c r="D14" s="2"/>
    </row>
  </sheetData>
  <mergeCells count="1">
    <mergeCell ref="A1:E1"/>
  </mergeCells>
  <conditionalFormatting sqref="C15:C23 B15:B22 A12:B12 A1:E1 A2:C11">
    <cfRule type="expression" dxfId="479" priority="8">
      <formula>ROW()=CELL(ROW)</formula>
    </cfRule>
  </conditionalFormatting>
  <conditionalFormatting sqref="A13:E13 A14:D14">
    <cfRule type="expression" dxfId="478" priority="7">
      <formula>ROW()=CELL(ROW)</formula>
    </cfRule>
  </conditionalFormatting>
  <conditionalFormatting sqref="D2">
    <cfRule type="expression" dxfId="477" priority="6">
      <formula>ROW()=CELL(ROW)</formula>
    </cfRule>
  </conditionalFormatting>
  <conditionalFormatting sqref="G2">
    <cfRule type="containsText" dxfId="476" priority="5" operator="containsText" text="Reorder ">
      <formula>NOT(ISERROR(SEARCH("Reorder ",G2)))</formula>
    </cfRule>
  </conditionalFormatting>
  <conditionalFormatting sqref="G1:G1048576">
    <cfRule type="containsText" dxfId="475" priority="4" operator="containsText" text="Reorder">
      <formula>NOT(ISERROR(SEARCH("Reorder",G1)))</formula>
    </cfRule>
  </conditionalFormatting>
  <conditionalFormatting sqref="G2">
    <cfRule type="containsText" dxfId="474" priority="3" operator="containsText" text="Reorder">
      <formula>NOT(ISERROR(SEARCH("Reorder",G2)))</formula>
    </cfRule>
  </conditionalFormatting>
  <conditionalFormatting sqref="G2">
    <cfRule type="containsText" dxfId="473" priority="2" operator="containsText" text="Reorder">
      <formula>NOT(ISERROR(SEARCH("Reorder",G2)))</formula>
    </cfRule>
  </conditionalFormatting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3"/>
  <sheetViews>
    <sheetView workbookViewId="0">
      <selection activeCell="E16" sqref="E16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6.5703125" style="7" bestFit="1" customWidth="1"/>
    <col min="7" max="7" width="11.42578125" style="2" bestFit="1" customWidth="1"/>
    <col min="8" max="16384" width="9.140625" style="2"/>
  </cols>
  <sheetData>
    <row r="1" spans="1:7" ht="44.25" customHeight="1" x14ac:dyDescent="0.25">
      <c r="A1" s="71" t="s">
        <v>290</v>
      </c>
      <c r="B1" s="72"/>
      <c r="C1" s="72"/>
      <c r="D1" s="72"/>
      <c r="E1" s="72"/>
    </row>
    <row r="2" spans="1:7" s="7" customFormat="1" ht="61.5" customHeight="1" x14ac:dyDescent="0.25">
      <c r="A2" s="4" t="s">
        <v>65</v>
      </c>
      <c r="B2" s="5" t="s">
        <v>224</v>
      </c>
      <c r="C2" s="5" t="s">
        <v>225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7" t="s">
        <v>683</v>
      </c>
      <c r="B3" s="2">
        <v>230</v>
      </c>
      <c r="C3" s="2">
        <v>280</v>
      </c>
      <c r="D3" s="2">
        <v>17</v>
      </c>
      <c r="E3" s="2">
        <v>8</v>
      </c>
      <c r="F3" s="7">
        <f>D3-E3</f>
        <v>9</v>
      </c>
      <c r="G3" s="2" t="str">
        <f>IF(F3&lt;=3, "Reorder","Available")</f>
        <v>Available</v>
      </c>
    </row>
    <row r="4" spans="1:7" ht="15" customHeight="1" x14ac:dyDescent="0.25">
      <c r="A4" s="7" t="s">
        <v>684</v>
      </c>
      <c r="B4" s="2">
        <v>230</v>
      </c>
      <c r="C4" s="2">
        <v>280</v>
      </c>
      <c r="D4" s="2">
        <v>0</v>
      </c>
      <c r="E4" s="2">
        <v>0</v>
      </c>
      <c r="F4" s="7">
        <f t="shared" ref="F4:F21" si="0">D4-E4</f>
        <v>0</v>
      </c>
      <c r="G4" s="2" t="str">
        <f t="shared" ref="G4:G21" si="1">IF(F4&lt;=3, "Reorder","Available")</f>
        <v>Reorder</v>
      </c>
    </row>
    <row r="5" spans="1:7" ht="15" customHeight="1" x14ac:dyDescent="0.25">
      <c r="A5" s="7" t="s">
        <v>685</v>
      </c>
      <c r="B5" s="2">
        <v>230</v>
      </c>
      <c r="C5" s="2">
        <v>280</v>
      </c>
      <c r="D5" s="2">
        <v>20</v>
      </c>
      <c r="E5" s="2">
        <v>9</v>
      </c>
      <c r="F5" s="7">
        <f t="shared" si="0"/>
        <v>11</v>
      </c>
      <c r="G5" s="2" t="str">
        <f t="shared" si="1"/>
        <v>Available</v>
      </c>
    </row>
    <row r="6" spans="1:7" ht="15" customHeight="1" x14ac:dyDescent="0.25">
      <c r="A6" s="7" t="s">
        <v>686</v>
      </c>
      <c r="B6" s="2">
        <v>230</v>
      </c>
      <c r="C6" s="2">
        <v>280</v>
      </c>
      <c r="D6" s="2">
        <v>0</v>
      </c>
      <c r="E6" s="2">
        <v>0</v>
      </c>
      <c r="F6" s="7">
        <f t="shared" si="0"/>
        <v>0</v>
      </c>
      <c r="G6" s="2" t="str">
        <f t="shared" si="1"/>
        <v>Reorder</v>
      </c>
    </row>
    <row r="7" spans="1:7" ht="15" customHeight="1" x14ac:dyDescent="0.25">
      <c r="A7" s="7" t="s">
        <v>292</v>
      </c>
      <c r="B7" s="2">
        <v>170</v>
      </c>
      <c r="C7" s="2">
        <v>210</v>
      </c>
      <c r="D7" s="2">
        <v>8</v>
      </c>
      <c r="E7" s="2">
        <v>2</v>
      </c>
      <c r="F7" s="7">
        <f t="shared" si="0"/>
        <v>6</v>
      </c>
      <c r="G7" s="2" t="str">
        <f t="shared" si="1"/>
        <v>Available</v>
      </c>
    </row>
    <row r="8" spans="1:7" ht="15" customHeight="1" x14ac:dyDescent="0.25">
      <c r="A8" s="7" t="s">
        <v>689</v>
      </c>
      <c r="B8" s="2">
        <v>300</v>
      </c>
      <c r="C8" s="2">
        <v>350</v>
      </c>
      <c r="D8" s="2">
        <v>10</v>
      </c>
      <c r="E8" s="2">
        <v>5</v>
      </c>
      <c r="F8" s="7">
        <f t="shared" si="0"/>
        <v>5</v>
      </c>
      <c r="G8" s="2" t="str">
        <f t="shared" si="1"/>
        <v>Available</v>
      </c>
    </row>
    <row r="9" spans="1:7" ht="15" customHeight="1" x14ac:dyDescent="0.25">
      <c r="A9" s="7" t="s">
        <v>690</v>
      </c>
      <c r="B9" s="2">
        <v>300</v>
      </c>
      <c r="C9" s="2">
        <v>350</v>
      </c>
      <c r="D9" s="2">
        <v>6</v>
      </c>
      <c r="E9" s="2">
        <v>0</v>
      </c>
      <c r="F9" s="7">
        <f t="shared" si="0"/>
        <v>6</v>
      </c>
      <c r="G9" s="2" t="str">
        <f t="shared" si="1"/>
        <v>Available</v>
      </c>
    </row>
    <row r="10" spans="1:7" ht="15" customHeight="1" x14ac:dyDescent="0.25">
      <c r="A10" s="7" t="s">
        <v>691</v>
      </c>
      <c r="B10" s="2">
        <v>230</v>
      </c>
      <c r="C10" s="2">
        <v>280</v>
      </c>
      <c r="D10" s="2">
        <v>10</v>
      </c>
      <c r="E10" s="2">
        <v>3</v>
      </c>
      <c r="F10" s="7">
        <f t="shared" si="0"/>
        <v>7</v>
      </c>
      <c r="G10" s="2" t="str">
        <f t="shared" si="1"/>
        <v>Available</v>
      </c>
    </row>
    <row r="11" spans="1:7" ht="15" customHeight="1" x14ac:dyDescent="0.25">
      <c r="A11" s="7" t="s">
        <v>692</v>
      </c>
      <c r="B11" s="2">
        <v>230</v>
      </c>
      <c r="C11" s="2">
        <v>280</v>
      </c>
      <c r="D11" s="2">
        <v>5</v>
      </c>
      <c r="E11" s="2">
        <v>0</v>
      </c>
      <c r="F11" s="7">
        <f t="shared" si="0"/>
        <v>5</v>
      </c>
      <c r="G11" s="2" t="str">
        <f t="shared" si="1"/>
        <v>Available</v>
      </c>
    </row>
    <row r="12" spans="1:7" ht="15" customHeight="1" x14ac:dyDescent="0.25">
      <c r="A12" s="7" t="s">
        <v>30</v>
      </c>
      <c r="B12" s="2">
        <v>230</v>
      </c>
      <c r="C12" s="2">
        <v>280</v>
      </c>
      <c r="D12" s="2">
        <v>8</v>
      </c>
      <c r="E12" s="2">
        <v>2</v>
      </c>
      <c r="F12" s="7">
        <f t="shared" si="0"/>
        <v>6</v>
      </c>
      <c r="G12" s="2" t="str">
        <f t="shared" si="1"/>
        <v>Available</v>
      </c>
    </row>
    <row r="13" spans="1:7" ht="14.25" customHeight="1" x14ac:dyDescent="0.25">
      <c r="A13" s="7" t="s">
        <v>695</v>
      </c>
      <c r="B13" s="2">
        <v>230</v>
      </c>
      <c r="C13" s="2">
        <v>280</v>
      </c>
      <c r="D13" s="2">
        <v>10</v>
      </c>
      <c r="E13" s="2">
        <v>8</v>
      </c>
      <c r="F13" s="7">
        <f t="shared" si="0"/>
        <v>2</v>
      </c>
      <c r="G13" s="2" t="str">
        <f t="shared" si="1"/>
        <v>Reorder</v>
      </c>
    </row>
    <row r="14" spans="1:7" ht="14.25" customHeight="1" x14ac:dyDescent="0.25">
      <c r="A14" s="7" t="s">
        <v>694</v>
      </c>
      <c r="B14" s="2">
        <v>230</v>
      </c>
      <c r="C14" s="2">
        <v>280</v>
      </c>
      <c r="D14" s="2">
        <v>5</v>
      </c>
      <c r="E14" s="2">
        <v>0</v>
      </c>
      <c r="F14" s="7">
        <f t="shared" si="0"/>
        <v>5</v>
      </c>
      <c r="G14" s="2" t="str">
        <f t="shared" si="1"/>
        <v>Available</v>
      </c>
    </row>
    <row r="15" spans="1:7" ht="15" customHeight="1" x14ac:dyDescent="0.25">
      <c r="A15" s="7" t="s">
        <v>696</v>
      </c>
      <c r="B15" s="2">
        <v>230</v>
      </c>
      <c r="C15" s="2">
        <v>280</v>
      </c>
      <c r="D15" s="2">
        <v>17</v>
      </c>
      <c r="E15" s="2">
        <v>6</v>
      </c>
      <c r="F15" s="7">
        <f t="shared" si="0"/>
        <v>11</v>
      </c>
      <c r="G15" s="2" t="str">
        <f t="shared" si="1"/>
        <v>Available</v>
      </c>
    </row>
    <row r="16" spans="1:7" ht="15" customHeight="1" x14ac:dyDescent="0.25">
      <c r="A16" s="7" t="s">
        <v>697</v>
      </c>
      <c r="B16" s="2">
        <v>230</v>
      </c>
      <c r="C16" s="2">
        <v>280</v>
      </c>
      <c r="D16" s="2">
        <v>8</v>
      </c>
      <c r="E16" s="2">
        <v>3</v>
      </c>
      <c r="F16" s="7">
        <f t="shared" si="0"/>
        <v>5</v>
      </c>
      <c r="G16" s="2" t="str">
        <f t="shared" si="1"/>
        <v>Available</v>
      </c>
    </row>
    <row r="17" spans="1:7" ht="15" customHeight="1" x14ac:dyDescent="0.25">
      <c r="A17" s="7" t="s">
        <v>688</v>
      </c>
      <c r="B17" s="2">
        <v>160</v>
      </c>
      <c r="C17" s="2">
        <v>200</v>
      </c>
      <c r="D17" s="2">
        <v>8</v>
      </c>
      <c r="E17" s="2">
        <v>5</v>
      </c>
      <c r="F17" s="7">
        <f t="shared" si="0"/>
        <v>3</v>
      </c>
      <c r="G17" s="2" t="str">
        <f t="shared" si="1"/>
        <v>Reorder</v>
      </c>
    </row>
    <row r="18" spans="1:7" ht="15" customHeight="1" x14ac:dyDescent="0.25">
      <c r="A18" s="7" t="s">
        <v>687</v>
      </c>
      <c r="B18" s="2">
        <v>160</v>
      </c>
      <c r="C18" s="2">
        <v>200</v>
      </c>
      <c r="D18" s="2">
        <v>8</v>
      </c>
      <c r="E18" s="2">
        <v>4</v>
      </c>
      <c r="F18" s="7">
        <f t="shared" si="0"/>
        <v>4</v>
      </c>
      <c r="G18" s="2" t="str">
        <f t="shared" si="1"/>
        <v>Available</v>
      </c>
    </row>
    <row r="19" spans="1:7" ht="15" customHeight="1" x14ac:dyDescent="0.25">
      <c r="A19" s="7" t="s">
        <v>693</v>
      </c>
      <c r="B19" s="2">
        <v>160</v>
      </c>
      <c r="C19" s="2">
        <v>200</v>
      </c>
      <c r="D19" s="2">
        <v>8</v>
      </c>
      <c r="E19" s="2">
        <v>2</v>
      </c>
      <c r="F19" s="7">
        <f t="shared" si="0"/>
        <v>6</v>
      </c>
      <c r="G19" s="2" t="str">
        <f t="shared" si="1"/>
        <v>Available</v>
      </c>
    </row>
    <row r="20" spans="1:7" ht="15" customHeight="1" x14ac:dyDescent="0.25">
      <c r="A20" s="7" t="s">
        <v>291</v>
      </c>
      <c r="B20" s="2">
        <v>100</v>
      </c>
      <c r="C20" s="2">
        <v>200</v>
      </c>
      <c r="D20" s="2">
        <v>20</v>
      </c>
      <c r="E20" s="2">
        <v>11</v>
      </c>
      <c r="F20" s="7">
        <f t="shared" si="0"/>
        <v>9</v>
      </c>
      <c r="G20" s="2" t="str">
        <f t="shared" si="1"/>
        <v>Available</v>
      </c>
    </row>
    <row r="21" spans="1:7" ht="15.75" customHeight="1" x14ac:dyDescent="0.25">
      <c r="A21" s="2" t="s">
        <v>827</v>
      </c>
      <c r="B21" s="2">
        <v>200</v>
      </c>
      <c r="C21" s="2">
        <v>250</v>
      </c>
      <c r="D21" s="2">
        <v>8</v>
      </c>
      <c r="E21" s="2">
        <v>3</v>
      </c>
      <c r="F21" s="7">
        <f t="shared" si="0"/>
        <v>5</v>
      </c>
      <c r="G21" s="2" t="str">
        <f t="shared" si="1"/>
        <v>Available</v>
      </c>
    </row>
    <row r="22" spans="1:7" ht="15" customHeight="1" x14ac:dyDescent="0.25">
      <c r="A22" s="31"/>
      <c r="B22" s="7"/>
      <c r="C22" s="7"/>
      <c r="D22" s="7"/>
      <c r="E22" s="7"/>
    </row>
    <row r="23" spans="1:7" s="7" customFormat="1" ht="15" customHeight="1" x14ac:dyDescent="0.25">
      <c r="A23" s="4"/>
      <c r="B23" s="5"/>
      <c r="C23" s="5"/>
      <c r="D23" s="2"/>
    </row>
  </sheetData>
  <mergeCells count="1">
    <mergeCell ref="A1:E1"/>
  </mergeCells>
  <conditionalFormatting sqref="C24:C32 B24:B31 A21:B21 A1:E1 A2:C20">
    <cfRule type="expression" dxfId="472" priority="9">
      <formula>ROW()=CELL(ROW)</formula>
    </cfRule>
  </conditionalFormatting>
  <conditionalFormatting sqref="A22:E22 A23:D23">
    <cfRule type="expression" dxfId="471" priority="8">
      <formula>ROW()=CELL(ROW)</formula>
    </cfRule>
  </conditionalFormatting>
  <conditionalFormatting sqref="D2">
    <cfRule type="expression" dxfId="470" priority="7">
      <formula>ROW()=CELL(ROW)</formula>
    </cfRule>
  </conditionalFormatting>
  <conditionalFormatting sqref="G2">
    <cfRule type="containsText" dxfId="469" priority="6" operator="containsText" text="Reorder ">
      <formula>NOT(ISERROR(SEARCH("Reorder ",G2)))</formula>
    </cfRule>
  </conditionalFormatting>
  <conditionalFormatting sqref="G2">
    <cfRule type="containsText" dxfId="468" priority="5" operator="containsText" text="Reorder">
      <formula>NOT(ISERROR(SEARCH("Reorder",G2)))</formula>
    </cfRule>
  </conditionalFormatting>
  <conditionalFormatting sqref="G2">
    <cfRule type="containsText" dxfId="467" priority="4" operator="containsText" text="Reorder">
      <formula>NOT(ISERROR(SEARCH("Reorder",G2)))</formula>
    </cfRule>
  </conditionalFormatting>
  <conditionalFormatting sqref="G2">
    <cfRule type="containsText" dxfId="466" priority="3" operator="containsText" text="Reorder">
      <formula>NOT(ISERROR(SEARCH("Reorder",G2)))</formula>
    </cfRule>
  </conditionalFormatting>
  <conditionalFormatting sqref="G2">
    <cfRule type="containsText" dxfId="465" priority="2" operator="containsText" text="Reorder">
      <formula>NOT(ISERROR(SEARCH("Reorder",G2)))</formula>
    </cfRule>
  </conditionalFormatting>
  <conditionalFormatting sqref="G1:G1048576">
    <cfRule type="containsText" dxfId="464" priority="1" operator="containsText" text="Reorder">
      <formula>NOT(ISERROR(SEARCH("Reorder",G1)))</formula>
    </cfRule>
  </conditionalFormatting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93"/>
  <sheetViews>
    <sheetView zoomScaleNormal="100" workbookViewId="0">
      <selection activeCell="D79" sqref="D79"/>
    </sheetView>
  </sheetViews>
  <sheetFormatPr defaultRowHeight="21" x14ac:dyDescent="0.25"/>
  <cols>
    <col min="1" max="1" width="14.28515625" style="27" bestFit="1" customWidth="1"/>
    <col min="2" max="2" width="26.42578125" style="2" bestFit="1" customWidth="1"/>
    <col min="3" max="3" width="18.85546875" style="2" customWidth="1"/>
    <col min="4" max="4" width="16.5703125" style="2" bestFit="1" customWidth="1"/>
    <col min="5" max="5" width="17.5703125" style="2" customWidth="1"/>
    <col min="6" max="6" width="16.28515625" style="2" bestFit="1" customWidth="1"/>
    <col min="7" max="7" width="16.42578125" style="2" customWidth="1"/>
    <col min="8" max="8" width="11.85546875" style="2" customWidth="1"/>
    <col min="9" max="16384" width="9.140625" style="2"/>
  </cols>
  <sheetData>
    <row r="1" spans="1:8" ht="44.25" customHeight="1" x14ac:dyDescent="0.25">
      <c r="B1" s="71" t="s">
        <v>293</v>
      </c>
      <c r="C1" s="72"/>
      <c r="D1" s="72"/>
      <c r="E1" s="72"/>
      <c r="F1" s="72"/>
    </row>
    <row r="2" spans="1:8" s="7" customFormat="1" ht="61.5" customHeight="1" x14ac:dyDescent="0.25">
      <c r="A2" s="33"/>
      <c r="B2" s="4" t="s">
        <v>65</v>
      </c>
      <c r="C2" s="5" t="s">
        <v>294</v>
      </c>
      <c r="D2" s="5" t="s">
        <v>295</v>
      </c>
      <c r="E2" s="5" t="s">
        <v>680</v>
      </c>
      <c r="F2" s="5" t="s">
        <v>681</v>
      </c>
      <c r="G2" s="5" t="s">
        <v>641</v>
      </c>
      <c r="H2" s="5" t="s">
        <v>638</v>
      </c>
    </row>
    <row r="3" spans="1:8" ht="15" customHeight="1" x14ac:dyDescent="0.25">
      <c r="A3" s="94" t="s">
        <v>298</v>
      </c>
      <c r="B3" s="7" t="s">
        <v>698</v>
      </c>
      <c r="C3" s="2">
        <v>700</v>
      </c>
      <c r="D3" s="2">
        <v>750</v>
      </c>
      <c r="E3" s="2">
        <v>0</v>
      </c>
      <c r="F3" s="2">
        <v>0</v>
      </c>
      <c r="G3" s="2">
        <f>E3-F3</f>
        <v>0</v>
      </c>
      <c r="H3" s="2" t="str">
        <f>IF(G3&lt;=2,"Reorder","Available")</f>
        <v>Reorder</v>
      </c>
    </row>
    <row r="4" spans="1:8" ht="15" customHeight="1" x14ac:dyDescent="0.25">
      <c r="A4" s="98"/>
      <c r="B4" s="7" t="s">
        <v>699</v>
      </c>
      <c r="C4" s="2">
        <v>700</v>
      </c>
      <c r="D4" s="2">
        <v>750</v>
      </c>
      <c r="E4" s="2">
        <v>1</v>
      </c>
      <c r="F4" s="2">
        <v>0</v>
      </c>
      <c r="G4" s="2">
        <f t="shared" ref="G4:G72" si="0">E4-F4</f>
        <v>1</v>
      </c>
      <c r="H4" s="2" t="str">
        <f t="shared" ref="H4:H72" si="1">IF(G4&lt;=2,"Reorder","Available")</f>
        <v>Reorder</v>
      </c>
    </row>
    <row r="5" spans="1:8" ht="15" customHeight="1" x14ac:dyDescent="0.25">
      <c r="A5" s="98"/>
      <c r="B5" s="7" t="s">
        <v>701</v>
      </c>
      <c r="C5" s="2">
        <v>210</v>
      </c>
      <c r="D5" s="2">
        <v>250</v>
      </c>
      <c r="E5" s="2">
        <v>1</v>
      </c>
      <c r="F5" s="2">
        <v>0</v>
      </c>
      <c r="G5" s="2">
        <f t="shared" si="0"/>
        <v>1</v>
      </c>
      <c r="H5" s="2" t="str">
        <f t="shared" si="1"/>
        <v>Reorder</v>
      </c>
    </row>
    <row r="6" spans="1:8" ht="15" customHeight="1" x14ac:dyDescent="0.25">
      <c r="A6" s="98"/>
      <c r="B6" s="7" t="s">
        <v>700</v>
      </c>
      <c r="C6" s="2">
        <v>210</v>
      </c>
      <c r="D6" s="2">
        <v>250</v>
      </c>
      <c r="E6" s="2">
        <v>0</v>
      </c>
      <c r="F6" s="2">
        <v>0</v>
      </c>
      <c r="G6" s="2">
        <f t="shared" si="0"/>
        <v>0</v>
      </c>
      <c r="H6" s="2" t="str">
        <f t="shared" si="1"/>
        <v>Reorder</v>
      </c>
    </row>
    <row r="7" spans="1:8" ht="15" customHeight="1" x14ac:dyDescent="0.25">
      <c r="A7" s="98"/>
      <c r="B7" s="7" t="s">
        <v>673</v>
      </c>
      <c r="C7" s="2">
        <v>375</v>
      </c>
      <c r="D7" s="2">
        <v>435</v>
      </c>
      <c r="E7" s="2">
        <v>0</v>
      </c>
      <c r="F7" s="2">
        <v>0</v>
      </c>
      <c r="G7" s="2">
        <f t="shared" si="0"/>
        <v>0</v>
      </c>
      <c r="H7" s="2" t="str">
        <f t="shared" si="1"/>
        <v>Reorder</v>
      </c>
    </row>
    <row r="8" spans="1:8" ht="15" customHeight="1" x14ac:dyDescent="0.25">
      <c r="A8" s="98"/>
      <c r="B8" s="7" t="s">
        <v>666</v>
      </c>
      <c r="C8" s="2">
        <v>375</v>
      </c>
      <c r="D8" s="2">
        <v>435</v>
      </c>
      <c r="E8" s="2">
        <v>2</v>
      </c>
      <c r="F8" s="2">
        <v>0</v>
      </c>
      <c r="G8" s="2">
        <f t="shared" si="0"/>
        <v>2</v>
      </c>
      <c r="H8" s="2" t="str">
        <f t="shared" si="1"/>
        <v>Reorder</v>
      </c>
    </row>
    <row r="9" spans="1:8" ht="15" customHeight="1" x14ac:dyDescent="0.25">
      <c r="A9" s="98"/>
      <c r="B9" s="7" t="s">
        <v>702</v>
      </c>
      <c r="C9" s="2">
        <v>225</v>
      </c>
      <c r="D9" s="2">
        <v>260</v>
      </c>
      <c r="E9" s="2">
        <v>0</v>
      </c>
      <c r="F9" s="2">
        <v>0</v>
      </c>
      <c r="G9" s="2">
        <f t="shared" si="0"/>
        <v>0</v>
      </c>
      <c r="H9" s="2" t="str">
        <f t="shared" si="1"/>
        <v>Reorder</v>
      </c>
    </row>
    <row r="10" spans="1:8" ht="15" customHeight="1" x14ac:dyDescent="0.25">
      <c r="A10" s="98"/>
      <c r="B10" s="7" t="s">
        <v>703</v>
      </c>
      <c r="C10" s="2">
        <v>225</v>
      </c>
      <c r="D10" s="2">
        <v>260</v>
      </c>
      <c r="E10" s="2">
        <v>0</v>
      </c>
      <c r="F10" s="2">
        <v>0</v>
      </c>
      <c r="G10" s="2">
        <f t="shared" si="0"/>
        <v>0</v>
      </c>
      <c r="H10" s="2" t="str">
        <f t="shared" si="1"/>
        <v>Reorder</v>
      </c>
    </row>
    <row r="11" spans="1:8" ht="15" customHeight="1" x14ac:dyDescent="0.25">
      <c r="A11" s="98"/>
      <c r="B11" s="7" t="s">
        <v>693</v>
      </c>
      <c r="C11" s="2">
        <v>210</v>
      </c>
      <c r="D11" s="2">
        <v>250</v>
      </c>
      <c r="E11" s="2">
        <v>1</v>
      </c>
      <c r="F11" s="2">
        <v>1</v>
      </c>
      <c r="G11" s="2">
        <f t="shared" si="0"/>
        <v>0</v>
      </c>
      <c r="H11" s="2" t="str">
        <f t="shared" si="1"/>
        <v>Reorder</v>
      </c>
    </row>
    <row r="12" spans="1:8" ht="15" customHeight="1" x14ac:dyDescent="0.25">
      <c r="A12" s="98"/>
      <c r="B12" s="7" t="s">
        <v>704</v>
      </c>
      <c r="C12" s="2">
        <v>210</v>
      </c>
      <c r="D12" s="2">
        <v>250</v>
      </c>
      <c r="E12" s="2">
        <v>1</v>
      </c>
      <c r="F12" s="2">
        <v>1</v>
      </c>
      <c r="G12" s="2">
        <f t="shared" si="0"/>
        <v>0</v>
      </c>
      <c r="H12" s="2" t="str">
        <f t="shared" si="1"/>
        <v>Reorder</v>
      </c>
    </row>
    <row r="13" spans="1:8" ht="15" customHeight="1" x14ac:dyDescent="0.25">
      <c r="A13" s="98"/>
      <c r="B13" s="7" t="s">
        <v>669</v>
      </c>
      <c r="C13" s="2">
        <v>210</v>
      </c>
      <c r="D13" s="2">
        <v>250</v>
      </c>
      <c r="E13" s="2">
        <v>4</v>
      </c>
      <c r="F13" s="2">
        <v>2</v>
      </c>
      <c r="G13" s="2">
        <f t="shared" si="0"/>
        <v>2</v>
      </c>
      <c r="H13" s="2" t="str">
        <f t="shared" si="1"/>
        <v>Reorder</v>
      </c>
    </row>
    <row r="14" spans="1:8" ht="15" customHeight="1" x14ac:dyDescent="0.25">
      <c r="A14" s="98"/>
      <c r="B14" s="7" t="s">
        <v>670</v>
      </c>
      <c r="C14" s="2">
        <v>210</v>
      </c>
      <c r="D14" s="2">
        <v>250</v>
      </c>
      <c r="E14" s="2">
        <v>6</v>
      </c>
      <c r="F14" s="2">
        <v>1</v>
      </c>
      <c r="G14" s="2">
        <f t="shared" si="0"/>
        <v>5</v>
      </c>
      <c r="H14" s="2" t="str">
        <f t="shared" si="1"/>
        <v>Available</v>
      </c>
    </row>
    <row r="15" spans="1:8" ht="15.75" customHeight="1" x14ac:dyDescent="0.25">
      <c r="A15" s="98"/>
      <c r="B15" s="7" t="s">
        <v>829</v>
      </c>
      <c r="C15" s="2">
        <v>610</v>
      </c>
      <c r="D15" s="2">
        <v>650</v>
      </c>
      <c r="E15" s="2">
        <v>0</v>
      </c>
      <c r="F15" s="2">
        <v>0</v>
      </c>
      <c r="G15" s="2">
        <f t="shared" si="0"/>
        <v>0</v>
      </c>
      <c r="H15" s="2" t="str">
        <f t="shared" si="1"/>
        <v>Reorder</v>
      </c>
    </row>
    <row r="16" spans="1:8" ht="15.75" customHeight="1" x14ac:dyDescent="0.25">
      <c r="A16" s="98"/>
      <c r="B16" s="7" t="s">
        <v>828</v>
      </c>
      <c r="C16" s="2">
        <v>610</v>
      </c>
      <c r="D16" s="2">
        <v>650</v>
      </c>
      <c r="E16" s="2">
        <v>2</v>
      </c>
      <c r="F16" s="2">
        <v>2</v>
      </c>
      <c r="G16" s="2">
        <f t="shared" si="0"/>
        <v>0</v>
      </c>
      <c r="H16" s="2" t="str">
        <f t="shared" si="1"/>
        <v>Reorder</v>
      </c>
    </row>
    <row r="17" spans="1:8" ht="15.75" customHeight="1" x14ac:dyDescent="0.25">
      <c r="A17" s="98"/>
      <c r="B17" s="7" t="s">
        <v>731</v>
      </c>
      <c r="C17" s="2">
        <v>300</v>
      </c>
      <c r="D17" s="2">
        <v>400</v>
      </c>
      <c r="E17" s="2">
        <v>2</v>
      </c>
      <c r="F17" s="2">
        <v>1</v>
      </c>
      <c r="G17" s="2">
        <f t="shared" si="0"/>
        <v>1</v>
      </c>
      <c r="H17" s="2" t="str">
        <f t="shared" si="1"/>
        <v>Reorder</v>
      </c>
    </row>
    <row r="18" spans="1:8" ht="15.75" customHeight="1" x14ac:dyDescent="0.25">
      <c r="A18" s="98"/>
      <c r="B18" s="7" t="s">
        <v>732</v>
      </c>
      <c r="C18" s="2">
        <v>300</v>
      </c>
      <c r="D18" s="2">
        <v>400</v>
      </c>
      <c r="E18" s="2">
        <v>0</v>
      </c>
      <c r="F18" s="2">
        <v>0</v>
      </c>
      <c r="G18" s="2">
        <f t="shared" si="0"/>
        <v>0</v>
      </c>
      <c r="H18" s="2" t="str">
        <f t="shared" si="1"/>
        <v>Reorder</v>
      </c>
    </row>
    <row r="19" spans="1:8" ht="15.75" customHeight="1" x14ac:dyDescent="0.25">
      <c r="A19" s="98"/>
      <c r="B19" s="7" t="s">
        <v>707</v>
      </c>
      <c r="C19" s="2">
        <v>275</v>
      </c>
      <c r="D19" s="2">
        <v>340</v>
      </c>
      <c r="E19" s="2">
        <v>3</v>
      </c>
      <c r="F19" s="2">
        <v>1</v>
      </c>
      <c r="G19" s="2">
        <f t="shared" si="0"/>
        <v>2</v>
      </c>
      <c r="H19" s="2" t="str">
        <f t="shared" si="1"/>
        <v>Reorder</v>
      </c>
    </row>
    <row r="20" spans="1:8" ht="15" customHeight="1" x14ac:dyDescent="0.25">
      <c r="A20" s="95"/>
      <c r="B20" s="7" t="s">
        <v>708</v>
      </c>
      <c r="C20" s="2">
        <v>275</v>
      </c>
      <c r="D20" s="2">
        <v>340</v>
      </c>
      <c r="E20" s="2">
        <v>0</v>
      </c>
      <c r="F20" s="2">
        <v>0</v>
      </c>
      <c r="G20" s="2">
        <f t="shared" si="0"/>
        <v>0</v>
      </c>
      <c r="H20" s="2" t="str">
        <f t="shared" si="1"/>
        <v>Reorder</v>
      </c>
    </row>
    <row r="21" spans="1:8" ht="15" customHeight="1" x14ac:dyDescent="0.25">
      <c r="B21" s="7"/>
    </row>
    <row r="22" spans="1:8" ht="15" customHeight="1" x14ac:dyDescent="0.25">
      <c r="A22" s="96" t="s">
        <v>149</v>
      </c>
      <c r="B22" s="7" t="s">
        <v>709</v>
      </c>
      <c r="C22" s="2">
        <v>740</v>
      </c>
      <c r="D22" s="2">
        <v>850</v>
      </c>
      <c r="E22" s="2">
        <v>4</v>
      </c>
      <c r="F22" s="2">
        <v>1</v>
      </c>
      <c r="G22" s="2">
        <f t="shared" si="0"/>
        <v>3</v>
      </c>
      <c r="H22" s="2" t="str">
        <f t="shared" si="1"/>
        <v>Available</v>
      </c>
    </row>
    <row r="23" spans="1:8" ht="15" customHeight="1" x14ac:dyDescent="0.25">
      <c r="A23" s="97"/>
      <c r="B23" s="7" t="s">
        <v>710</v>
      </c>
      <c r="C23" s="2">
        <v>740</v>
      </c>
      <c r="D23" s="2">
        <v>850</v>
      </c>
      <c r="E23" s="2">
        <v>2</v>
      </c>
      <c r="F23" s="2">
        <v>0</v>
      </c>
      <c r="G23" s="2">
        <f t="shared" si="0"/>
        <v>2</v>
      </c>
      <c r="H23" s="2" t="str">
        <f t="shared" si="1"/>
        <v>Reorder</v>
      </c>
    </row>
    <row r="24" spans="1:8" ht="15" customHeight="1" x14ac:dyDescent="0.25">
      <c r="A24" s="97"/>
      <c r="B24" s="7" t="s">
        <v>989</v>
      </c>
      <c r="C24" s="2">
        <v>415</v>
      </c>
      <c r="D24" s="2">
        <v>500</v>
      </c>
      <c r="E24" s="2">
        <v>2</v>
      </c>
      <c r="F24" s="2">
        <v>2</v>
      </c>
      <c r="G24" s="2">
        <f t="shared" si="0"/>
        <v>0</v>
      </c>
      <c r="H24" s="2" t="str">
        <f t="shared" si="1"/>
        <v>Reorder</v>
      </c>
    </row>
    <row r="25" spans="1:8" ht="15" customHeight="1" x14ac:dyDescent="0.25">
      <c r="A25" s="97"/>
      <c r="B25" s="7" t="s">
        <v>990</v>
      </c>
      <c r="C25" s="2">
        <v>400</v>
      </c>
      <c r="D25" s="2">
        <v>500</v>
      </c>
      <c r="E25" s="2">
        <v>2</v>
      </c>
      <c r="F25" s="2">
        <v>2</v>
      </c>
      <c r="G25" s="2">
        <f t="shared" si="0"/>
        <v>0</v>
      </c>
      <c r="H25" s="2" t="str">
        <f t="shared" si="1"/>
        <v>Reorder</v>
      </c>
    </row>
    <row r="26" spans="1:8" ht="15" customHeight="1" x14ac:dyDescent="0.25">
      <c r="A26" s="97"/>
      <c r="B26" s="7" t="s">
        <v>711</v>
      </c>
      <c r="C26" s="2">
        <v>500</v>
      </c>
      <c r="D26" s="2">
        <v>550</v>
      </c>
      <c r="E26" s="2">
        <v>1</v>
      </c>
      <c r="F26" s="2">
        <v>0</v>
      </c>
      <c r="G26" s="2">
        <f t="shared" si="0"/>
        <v>1</v>
      </c>
      <c r="H26" s="2" t="str">
        <f t="shared" si="1"/>
        <v>Reorder</v>
      </c>
    </row>
    <row r="27" spans="1:8" ht="15" customHeight="1" x14ac:dyDescent="0.25">
      <c r="A27" s="97"/>
      <c r="B27" s="7" t="s">
        <v>712</v>
      </c>
      <c r="C27" s="2">
        <v>500</v>
      </c>
      <c r="D27" s="2">
        <v>550</v>
      </c>
      <c r="E27" s="2">
        <v>0</v>
      </c>
      <c r="F27" s="2">
        <v>0</v>
      </c>
      <c r="G27" s="2">
        <f t="shared" si="0"/>
        <v>0</v>
      </c>
      <c r="H27" s="2" t="str">
        <f t="shared" si="1"/>
        <v>Reorder</v>
      </c>
    </row>
    <row r="28" spans="1:8" ht="15" customHeight="1" x14ac:dyDescent="0.25">
      <c r="A28" s="97"/>
      <c r="B28" s="7" t="s">
        <v>713</v>
      </c>
      <c r="C28" s="2">
        <v>490</v>
      </c>
      <c r="D28" s="2">
        <v>550</v>
      </c>
      <c r="E28" s="2">
        <v>0</v>
      </c>
      <c r="F28" s="2">
        <v>0</v>
      </c>
      <c r="G28" s="2">
        <f t="shared" si="0"/>
        <v>0</v>
      </c>
      <c r="H28" s="2" t="str">
        <f t="shared" si="1"/>
        <v>Reorder</v>
      </c>
    </row>
    <row r="29" spans="1:8" ht="15" customHeight="1" x14ac:dyDescent="0.25">
      <c r="A29" s="97"/>
      <c r="B29" s="7" t="s">
        <v>714</v>
      </c>
      <c r="C29" s="2">
        <v>490</v>
      </c>
      <c r="D29" s="2">
        <v>550</v>
      </c>
      <c r="E29" s="2">
        <v>2</v>
      </c>
      <c r="F29" s="2">
        <v>2</v>
      </c>
      <c r="G29" s="2">
        <f t="shared" si="0"/>
        <v>0</v>
      </c>
      <c r="H29" s="2" t="str">
        <f t="shared" si="1"/>
        <v>Reorder</v>
      </c>
    </row>
    <row r="30" spans="1:8" ht="15" customHeight="1" x14ac:dyDescent="0.25">
      <c r="A30" s="97"/>
      <c r="B30" s="7" t="s">
        <v>715</v>
      </c>
      <c r="C30" s="2">
        <v>360</v>
      </c>
      <c r="D30" s="2">
        <v>410</v>
      </c>
      <c r="E30" s="2">
        <v>9</v>
      </c>
      <c r="F30" s="2">
        <v>2</v>
      </c>
      <c r="G30" s="2">
        <f t="shared" si="0"/>
        <v>7</v>
      </c>
      <c r="H30" s="2" t="str">
        <f t="shared" si="1"/>
        <v>Available</v>
      </c>
    </row>
    <row r="31" spans="1:8" ht="15" customHeight="1" x14ac:dyDescent="0.25">
      <c r="A31" s="97"/>
      <c r="B31" s="7" t="s">
        <v>716</v>
      </c>
      <c r="C31" s="2">
        <v>360</v>
      </c>
      <c r="D31" s="2">
        <v>410</v>
      </c>
      <c r="E31" s="2">
        <v>4</v>
      </c>
      <c r="F31" s="2">
        <v>3</v>
      </c>
      <c r="G31" s="2">
        <f t="shared" si="0"/>
        <v>1</v>
      </c>
      <c r="H31" s="2" t="str">
        <f t="shared" si="1"/>
        <v>Reorder</v>
      </c>
    </row>
    <row r="32" spans="1:8" ht="15" customHeight="1" x14ac:dyDescent="0.25">
      <c r="A32" s="97"/>
      <c r="B32" s="7" t="s">
        <v>717</v>
      </c>
      <c r="C32" s="2">
        <v>700</v>
      </c>
      <c r="D32" s="2">
        <v>750</v>
      </c>
      <c r="E32" s="2">
        <v>0</v>
      </c>
      <c r="F32" s="2">
        <v>0</v>
      </c>
      <c r="G32" s="2">
        <f t="shared" si="0"/>
        <v>0</v>
      </c>
      <c r="H32" s="2" t="str">
        <f t="shared" si="1"/>
        <v>Reorder</v>
      </c>
    </row>
    <row r="33" spans="1:8" ht="15.75" customHeight="1" x14ac:dyDescent="0.25">
      <c r="A33" s="99"/>
      <c r="B33" s="2" t="s">
        <v>718</v>
      </c>
      <c r="C33" s="2">
        <v>700</v>
      </c>
      <c r="D33" s="2">
        <v>750</v>
      </c>
      <c r="E33" s="2">
        <v>1</v>
      </c>
      <c r="F33" s="2">
        <v>0</v>
      </c>
      <c r="G33" s="2">
        <f t="shared" si="0"/>
        <v>1</v>
      </c>
      <c r="H33" s="2" t="str">
        <f t="shared" si="1"/>
        <v>Reorder</v>
      </c>
    </row>
    <row r="34" spans="1:8" ht="15" x14ac:dyDescent="0.25">
      <c r="A34" s="34"/>
      <c r="B34" s="7"/>
      <c r="C34" s="7"/>
      <c r="D34" s="7"/>
    </row>
    <row r="35" spans="1:8" s="7" customFormat="1" ht="15" x14ac:dyDescent="0.25">
      <c r="A35" s="94" t="s">
        <v>299</v>
      </c>
      <c r="B35" s="7" t="s">
        <v>719</v>
      </c>
      <c r="C35" s="7">
        <v>470</v>
      </c>
      <c r="D35" s="7">
        <v>520</v>
      </c>
      <c r="E35" s="2">
        <v>0</v>
      </c>
      <c r="F35" s="2">
        <v>0</v>
      </c>
      <c r="G35" s="2">
        <f t="shared" si="0"/>
        <v>0</v>
      </c>
      <c r="H35" s="2" t="str">
        <f t="shared" si="1"/>
        <v>Reorder</v>
      </c>
    </row>
    <row r="36" spans="1:8" s="7" customFormat="1" ht="15" x14ac:dyDescent="0.25">
      <c r="A36" s="98"/>
      <c r="B36" s="7" t="s">
        <v>720</v>
      </c>
      <c r="C36" s="7">
        <v>470</v>
      </c>
      <c r="D36" s="7">
        <v>520</v>
      </c>
      <c r="E36" s="2">
        <v>0</v>
      </c>
      <c r="F36" s="2">
        <v>0</v>
      </c>
      <c r="G36" s="2">
        <f t="shared" si="0"/>
        <v>0</v>
      </c>
      <c r="H36" s="2" t="str">
        <f t="shared" si="1"/>
        <v>Reorder</v>
      </c>
    </row>
    <row r="37" spans="1:8" ht="15" x14ac:dyDescent="0.25">
      <c r="A37" s="100"/>
      <c r="B37" s="2" t="s">
        <v>721</v>
      </c>
      <c r="C37" s="2">
        <v>255</v>
      </c>
      <c r="D37" s="2">
        <v>290</v>
      </c>
      <c r="E37" s="2">
        <v>0</v>
      </c>
      <c r="F37" s="2">
        <v>0</v>
      </c>
      <c r="G37" s="2">
        <f t="shared" si="0"/>
        <v>0</v>
      </c>
      <c r="H37" s="2" t="str">
        <f t="shared" si="1"/>
        <v>Reorder</v>
      </c>
    </row>
    <row r="38" spans="1:8" ht="15" x14ac:dyDescent="0.25">
      <c r="A38" s="100"/>
      <c r="B38" s="2" t="s">
        <v>722</v>
      </c>
      <c r="C38" s="2">
        <v>255</v>
      </c>
      <c r="D38" s="2">
        <v>290</v>
      </c>
      <c r="E38" s="2">
        <v>0</v>
      </c>
      <c r="F38" s="2">
        <v>0</v>
      </c>
      <c r="G38" s="2">
        <f t="shared" si="0"/>
        <v>0</v>
      </c>
      <c r="H38" s="2" t="str">
        <f t="shared" si="1"/>
        <v>Reorder</v>
      </c>
    </row>
    <row r="39" spans="1:8" ht="15" x14ac:dyDescent="0.25">
      <c r="A39" s="100"/>
      <c r="B39" s="2" t="s">
        <v>657</v>
      </c>
      <c r="C39" s="2">
        <v>190</v>
      </c>
      <c r="D39" s="2">
        <v>240</v>
      </c>
      <c r="E39" s="2">
        <v>0</v>
      </c>
      <c r="F39" s="2">
        <v>0</v>
      </c>
      <c r="G39" s="2">
        <f t="shared" si="0"/>
        <v>0</v>
      </c>
      <c r="H39" s="2" t="str">
        <f t="shared" si="1"/>
        <v>Reorder</v>
      </c>
    </row>
    <row r="40" spans="1:8" ht="15" x14ac:dyDescent="0.25">
      <c r="A40" s="100"/>
      <c r="B40" s="2" t="s">
        <v>658</v>
      </c>
      <c r="C40" s="2">
        <v>190</v>
      </c>
      <c r="D40" s="2">
        <v>240</v>
      </c>
      <c r="E40" s="2">
        <v>0</v>
      </c>
      <c r="F40" s="2">
        <v>0</v>
      </c>
      <c r="G40" s="2">
        <f t="shared" si="0"/>
        <v>0</v>
      </c>
      <c r="H40" s="2" t="str">
        <f t="shared" si="1"/>
        <v>Reorder</v>
      </c>
    </row>
    <row r="41" spans="1:8" ht="15" x14ac:dyDescent="0.25">
      <c r="A41" s="100"/>
      <c r="B41" s="2" t="s">
        <v>723</v>
      </c>
      <c r="C41" s="2">
        <v>250</v>
      </c>
      <c r="D41" s="2">
        <v>310</v>
      </c>
      <c r="E41" s="2">
        <v>1</v>
      </c>
      <c r="F41" s="2">
        <v>0</v>
      </c>
      <c r="G41" s="2">
        <f t="shared" si="0"/>
        <v>1</v>
      </c>
      <c r="H41" s="2" t="str">
        <f t="shared" si="1"/>
        <v>Reorder</v>
      </c>
    </row>
    <row r="42" spans="1:8" ht="15" x14ac:dyDescent="0.25">
      <c r="A42" s="101"/>
      <c r="B42" s="2" t="s">
        <v>724</v>
      </c>
      <c r="C42" s="2">
        <v>250</v>
      </c>
      <c r="D42" s="2">
        <v>310</v>
      </c>
      <c r="E42" s="2">
        <v>0</v>
      </c>
      <c r="F42" s="2">
        <v>0</v>
      </c>
      <c r="G42" s="2">
        <f t="shared" si="0"/>
        <v>0</v>
      </c>
      <c r="H42" s="2" t="str">
        <f t="shared" si="1"/>
        <v>Reorder</v>
      </c>
    </row>
    <row r="43" spans="1:8" ht="15" x14ac:dyDescent="0.25">
      <c r="A43" s="34"/>
    </row>
    <row r="44" spans="1:8" ht="15" x14ac:dyDescent="0.25">
      <c r="A44" s="96" t="s">
        <v>281</v>
      </c>
      <c r="B44" s="2" t="s">
        <v>725</v>
      </c>
      <c r="C44" s="2">
        <v>430</v>
      </c>
      <c r="D44" s="2">
        <v>490</v>
      </c>
      <c r="E44" s="2">
        <v>1</v>
      </c>
      <c r="F44" s="2">
        <v>0</v>
      </c>
      <c r="G44" s="2">
        <f t="shared" si="0"/>
        <v>1</v>
      </c>
      <c r="H44" s="2" t="str">
        <f t="shared" si="1"/>
        <v>Reorder</v>
      </c>
    </row>
    <row r="45" spans="1:8" ht="15" x14ac:dyDescent="0.25">
      <c r="A45" s="97"/>
      <c r="B45" s="2" t="s">
        <v>726</v>
      </c>
      <c r="C45" s="2">
        <v>430</v>
      </c>
      <c r="D45" s="2">
        <v>490</v>
      </c>
      <c r="E45" s="2">
        <v>2</v>
      </c>
      <c r="F45" s="2">
        <v>2</v>
      </c>
      <c r="G45" s="2">
        <f t="shared" si="0"/>
        <v>0</v>
      </c>
      <c r="H45" s="2" t="str">
        <f t="shared" si="1"/>
        <v>Reorder</v>
      </c>
    </row>
    <row r="46" spans="1:8" ht="15" x14ac:dyDescent="0.25">
      <c r="A46" s="97"/>
      <c r="B46" s="2" t="s">
        <v>705</v>
      </c>
      <c r="C46" s="2">
        <v>620</v>
      </c>
      <c r="D46" s="2">
        <v>660</v>
      </c>
      <c r="E46" s="2">
        <v>0</v>
      </c>
      <c r="F46" s="2">
        <v>0</v>
      </c>
      <c r="G46" s="2">
        <f t="shared" si="0"/>
        <v>0</v>
      </c>
      <c r="H46" s="2" t="str">
        <f t="shared" si="1"/>
        <v>Reorder</v>
      </c>
    </row>
    <row r="47" spans="1:8" ht="15" x14ac:dyDescent="0.25">
      <c r="A47" s="97"/>
      <c r="B47" s="2" t="s">
        <v>706</v>
      </c>
      <c r="C47" s="2">
        <v>620</v>
      </c>
      <c r="D47" s="2">
        <v>660</v>
      </c>
      <c r="E47" s="2">
        <v>0</v>
      </c>
      <c r="F47" s="2">
        <v>0</v>
      </c>
      <c r="G47" s="2">
        <f t="shared" si="0"/>
        <v>0</v>
      </c>
      <c r="H47" s="2" t="str">
        <f t="shared" si="1"/>
        <v>Reorder</v>
      </c>
    </row>
    <row r="48" spans="1:8" ht="15" x14ac:dyDescent="0.25">
      <c r="A48" s="97"/>
      <c r="B48" s="2" t="s">
        <v>727</v>
      </c>
      <c r="C48" s="2">
        <v>370</v>
      </c>
      <c r="D48" s="2">
        <v>420</v>
      </c>
      <c r="E48" s="2">
        <v>0</v>
      </c>
      <c r="F48" s="2">
        <v>0</v>
      </c>
      <c r="G48" s="2">
        <f t="shared" si="0"/>
        <v>0</v>
      </c>
      <c r="H48" s="2" t="str">
        <f t="shared" si="1"/>
        <v>Reorder</v>
      </c>
    </row>
    <row r="49" spans="1:8" ht="15" x14ac:dyDescent="0.25">
      <c r="A49" s="99"/>
      <c r="B49" s="2" t="s">
        <v>728</v>
      </c>
      <c r="C49" s="2">
        <v>370</v>
      </c>
      <c r="D49" s="2">
        <v>420</v>
      </c>
      <c r="E49" s="2">
        <v>0</v>
      </c>
      <c r="F49" s="2">
        <v>0</v>
      </c>
      <c r="G49" s="2">
        <f t="shared" si="0"/>
        <v>0</v>
      </c>
      <c r="H49" s="2" t="str">
        <f t="shared" si="1"/>
        <v>Reorder</v>
      </c>
    </row>
    <row r="50" spans="1:8" ht="15" x14ac:dyDescent="0.25">
      <c r="A50" s="34"/>
    </row>
    <row r="51" spans="1:8" ht="15" x14ac:dyDescent="0.25">
      <c r="A51" s="94" t="s">
        <v>300</v>
      </c>
      <c r="B51" s="2" t="s">
        <v>669</v>
      </c>
      <c r="C51" s="2">
        <v>180</v>
      </c>
      <c r="D51" s="2">
        <v>220</v>
      </c>
      <c r="E51" s="2">
        <v>0</v>
      </c>
      <c r="F51" s="2">
        <v>0</v>
      </c>
      <c r="G51" s="2">
        <f>E51-F51</f>
        <v>0</v>
      </c>
      <c r="H51" s="2" t="str">
        <f t="shared" si="1"/>
        <v>Reorder</v>
      </c>
    </row>
    <row r="52" spans="1:8" ht="15" x14ac:dyDescent="0.25">
      <c r="A52" s="98"/>
      <c r="B52" s="2" t="s">
        <v>670</v>
      </c>
      <c r="C52" s="2">
        <v>180</v>
      </c>
      <c r="D52" s="2">
        <v>220</v>
      </c>
      <c r="E52" s="2">
        <v>0</v>
      </c>
      <c r="F52" s="2">
        <v>0</v>
      </c>
      <c r="G52" s="2">
        <f t="shared" si="0"/>
        <v>0</v>
      </c>
      <c r="H52" s="2" t="str">
        <f t="shared" si="1"/>
        <v>Reorder</v>
      </c>
    </row>
    <row r="53" spans="1:8" ht="15" x14ac:dyDescent="0.25">
      <c r="A53" s="100"/>
      <c r="B53" s="2" t="s">
        <v>729</v>
      </c>
      <c r="C53" s="2">
        <v>190</v>
      </c>
      <c r="D53" s="2">
        <v>220</v>
      </c>
      <c r="E53" s="2">
        <v>2</v>
      </c>
      <c r="F53" s="2">
        <v>2</v>
      </c>
      <c r="G53" s="2">
        <f t="shared" si="0"/>
        <v>0</v>
      </c>
      <c r="H53" s="2" t="str">
        <f t="shared" si="1"/>
        <v>Reorder</v>
      </c>
    </row>
    <row r="54" spans="1:8" ht="15" x14ac:dyDescent="0.25">
      <c r="A54" s="100"/>
      <c r="B54" s="2" t="s">
        <v>730</v>
      </c>
      <c r="C54" s="2">
        <v>190</v>
      </c>
      <c r="D54" s="2">
        <v>220</v>
      </c>
      <c r="E54" s="2">
        <v>8</v>
      </c>
      <c r="F54" s="2">
        <v>6</v>
      </c>
      <c r="G54" s="2">
        <f t="shared" si="0"/>
        <v>2</v>
      </c>
      <c r="H54" s="2" t="str">
        <f t="shared" si="1"/>
        <v>Reorder</v>
      </c>
    </row>
    <row r="55" spans="1:8" ht="15" x14ac:dyDescent="0.25">
      <c r="A55" s="100"/>
      <c r="B55" s="2" t="s">
        <v>727</v>
      </c>
      <c r="C55" s="2">
        <v>310</v>
      </c>
      <c r="D55" s="2">
        <v>360</v>
      </c>
      <c r="E55" s="2">
        <v>1</v>
      </c>
      <c r="F55" s="2">
        <v>0</v>
      </c>
      <c r="G55" s="2">
        <f t="shared" si="0"/>
        <v>1</v>
      </c>
      <c r="H55" s="2" t="str">
        <f t="shared" si="1"/>
        <v>Reorder</v>
      </c>
    </row>
    <row r="56" spans="1:8" ht="15" x14ac:dyDescent="0.25">
      <c r="A56" s="101"/>
      <c r="B56" s="2" t="s">
        <v>728</v>
      </c>
      <c r="C56" s="2">
        <v>310</v>
      </c>
      <c r="D56" s="2">
        <v>360</v>
      </c>
      <c r="E56" s="2">
        <v>0</v>
      </c>
      <c r="G56" s="2">
        <f t="shared" si="0"/>
        <v>0</v>
      </c>
      <c r="H56" s="2" t="str">
        <f t="shared" si="1"/>
        <v>Reorder</v>
      </c>
    </row>
    <row r="57" spans="1:8" ht="15" x14ac:dyDescent="0.25">
      <c r="A57" s="34"/>
    </row>
    <row r="58" spans="1:8" ht="15" customHeight="1" x14ac:dyDescent="0.25">
      <c r="A58" s="96" t="s">
        <v>630</v>
      </c>
      <c r="B58" s="2" t="s">
        <v>731</v>
      </c>
      <c r="C58" s="2">
        <v>300</v>
      </c>
      <c r="D58" s="2">
        <v>350</v>
      </c>
      <c r="E58" s="2">
        <v>5</v>
      </c>
      <c r="F58" s="2">
        <v>5</v>
      </c>
      <c r="G58" s="2">
        <f t="shared" si="0"/>
        <v>0</v>
      </c>
      <c r="H58" s="2" t="str">
        <f t="shared" si="1"/>
        <v>Reorder</v>
      </c>
    </row>
    <row r="59" spans="1:8" ht="15" customHeight="1" x14ac:dyDescent="0.25">
      <c r="A59" s="97"/>
      <c r="B59" s="2" t="s">
        <v>732</v>
      </c>
      <c r="C59" s="2">
        <v>300</v>
      </c>
      <c r="D59" s="2">
        <v>350</v>
      </c>
      <c r="E59" s="2">
        <v>5</v>
      </c>
      <c r="F59" s="2">
        <v>5</v>
      </c>
      <c r="G59" s="2">
        <f t="shared" si="0"/>
        <v>0</v>
      </c>
      <c r="H59" s="2" t="str">
        <f t="shared" si="1"/>
        <v>Reorder</v>
      </c>
    </row>
    <row r="60" spans="1:8" ht="15" customHeight="1" x14ac:dyDescent="0.25">
      <c r="A60" s="97"/>
      <c r="B60" s="2" t="s">
        <v>733</v>
      </c>
      <c r="C60" s="2">
        <v>270</v>
      </c>
      <c r="D60" s="2">
        <v>310</v>
      </c>
      <c r="E60" s="2">
        <v>10</v>
      </c>
      <c r="F60" s="2">
        <v>8</v>
      </c>
      <c r="G60" s="2">
        <f t="shared" si="0"/>
        <v>2</v>
      </c>
      <c r="H60" s="2" t="str">
        <f t="shared" si="1"/>
        <v>Reorder</v>
      </c>
    </row>
    <row r="61" spans="1:8" ht="15" customHeight="1" x14ac:dyDescent="0.25">
      <c r="A61" s="97"/>
      <c r="B61" s="2" t="s">
        <v>734</v>
      </c>
      <c r="C61" s="2">
        <v>270</v>
      </c>
      <c r="D61" s="2">
        <v>310</v>
      </c>
      <c r="E61" s="2">
        <v>8</v>
      </c>
      <c r="F61" s="2">
        <v>2</v>
      </c>
      <c r="G61" s="2">
        <f t="shared" si="0"/>
        <v>6</v>
      </c>
      <c r="H61" s="2" t="str">
        <f t="shared" si="1"/>
        <v>Available</v>
      </c>
    </row>
    <row r="62" spans="1:8" ht="15" customHeight="1" x14ac:dyDescent="0.25">
      <c r="A62" s="97"/>
      <c r="B62" s="2" t="s">
        <v>667</v>
      </c>
      <c r="C62" s="2">
        <v>210</v>
      </c>
      <c r="D62" s="2">
        <v>260</v>
      </c>
      <c r="E62" s="2">
        <v>10</v>
      </c>
      <c r="F62" s="2">
        <v>6</v>
      </c>
      <c r="G62" s="2">
        <f t="shared" si="0"/>
        <v>4</v>
      </c>
      <c r="H62" s="2" t="str">
        <f t="shared" si="1"/>
        <v>Available</v>
      </c>
    </row>
    <row r="63" spans="1:8" ht="15" customHeight="1" x14ac:dyDescent="0.25">
      <c r="A63" s="97"/>
      <c r="B63" s="2" t="s">
        <v>668</v>
      </c>
      <c r="C63" s="2">
        <v>210</v>
      </c>
      <c r="D63" s="2">
        <v>260</v>
      </c>
      <c r="E63" s="2">
        <v>8</v>
      </c>
      <c r="F63" s="2">
        <v>3</v>
      </c>
      <c r="G63" s="2">
        <f t="shared" si="0"/>
        <v>5</v>
      </c>
      <c r="H63" s="2" t="str">
        <f t="shared" si="1"/>
        <v>Available</v>
      </c>
    </row>
    <row r="64" spans="1:8" ht="15" customHeight="1" x14ac:dyDescent="0.25">
      <c r="A64" s="97"/>
      <c r="B64" s="2" t="s">
        <v>693</v>
      </c>
      <c r="C64" s="2">
        <v>210</v>
      </c>
      <c r="D64" s="2">
        <v>250</v>
      </c>
      <c r="E64" s="2">
        <v>6</v>
      </c>
      <c r="F64" s="2">
        <v>4</v>
      </c>
      <c r="G64" s="2">
        <f t="shared" si="0"/>
        <v>2</v>
      </c>
      <c r="H64" s="2" t="str">
        <f t="shared" si="1"/>
        <v>Reorder</v>
      </c>
    </row>
    <row r="65" spans="1:10" ht="15" customHeight="1" x14ac:dyDescent="0.25">
      <c r="A65" s="97"/>
      <c r="B65" s="2" t="s">
        <v>735</v>
      </c>
      <c r="C65" s="2">
        <v>210</v>
      </c>
      <c r="D65" s="2">
        <v>250</v>
      </c>
      <c r="E65" s="2">
        <v>10</v>
      </c>
      <c r="F65" s="2">
        <v>10</v>
      </c>
      <c r="G65" s="2">
        <f t="shared" si="0"/>
        <v>0</v>
      </c>
      <c r="H65" s="2" t="str">
        <f t="shared" si="1"/>
        <v>Reorder</v>
      </c>
    </row>
    <row r="66" spans="1:10" ht="15" customHeight="1" x14ac:dyDescent="0.25">
      <c r="A66" s="97"/>
      <c r="B66" s="2" t="s">
        <v>669</v>
      </c>
      <c r="C66" s="2">
        <v>210</v>
      </c>
      <c r="D66" s="2">
        <v>260</v>
      </c>
      <c r="E66" s="2">
        <v>10</v>
      </c>
      <c r="F66" s="2">
        <v>6</v>
      </c>
      <c r="G66" s="2">
        <f t="shared" si="0"/>
        <v>4</v>
      </c>
      <c r="H66" s="2" t="str">
        <f t="shared" si="1"/>
        <v>Available</v>
      </c>
    </row>
    <row r="67" spans="1:10" ht="15" customHeight="1" x14ac:dyDescent="0.25">
      <c r="A67" s="97"/>
      <c r="B67" s="2" t="s">
        <v>670</v>
      </c>
      <c r="C67" s="2">
        <v>210</v>
      </c>
      <c r="D67" s="2">
        <v>260</v>
      </c>
      <c r="E67" s="2">
        <v>12</v>
      </c>
      <c r="F67" s="2">
        <v>12</v>
      </c>
      <c r="G67" s="2">
        <f t="shared" si="0"/>
        <v>0</v>
      </c>
      <c r="H67" s="2" t="str">
        <f t="shared" si="1"/>
        <v>Reorder</v>
      </c>
    </row>
    <row r="68" spans="1:10" ht="15" customHeight="1" x14ac:dyDescent="0.25">
      <c r="A68" s="97"/>
      <c r="B68" s="2" t="s">
        <v>657</v>
      </c>
      <c r="C68" s="2">
        <v>190</v>
      </c>
      <c r="D68" s="2">
        <v>225</v>
      </c>
      <c r="E68" s="2">
        <v>5</v>
      </c>
      <c r="F68" s="2">
        <v>2</v>
      </c>
      <c r="G68" s="2">
        <f t="shared" si="0"/>
        <v>3</v>
      </c>
      <c r="H68" s="2" t="str">
        <f t="shared" si="1"/>
        <v>Available</v>
      </c>
    </row>
    <row r="69" spans="1:10" ht="15" customHeight="1" x14ac:dyDescent="0.25">
      <c r="A69" s="97"/>
      <c r="B69" s="2" t="s">
        <v>658</v>
      </c>
      <c r="C69" s="2">
        <v>190</v>
      </c>
      <c r="D69" s="2">
        <v>225</v>
      </c>
      <c r="E69" s="2">
        <v>5</v>
      </c>
      <c r="F69" s="2">
        <v>1</v>
      </c>
      <c r="G69" s="2">
        <f t="shared" si="0"/>
        <v>4</v>
      </c>
      <c r="H69" s="2" t="str">
        <f t="shared" si="1"/>
        <v>Available</v>
      </c>
    </row>
    <row r="70" spans="1:10" ht="15" customHeight="1" x14ac:dyDescent="0.25">
      <c r="A70" s="97"/>
      <c r="B70" s="2" t="s">
        <v>959</v>
      </c>
      <c r="C70" s="2">
        <v>190</v>
      </c>
      <c r="D70" s="2">
        <v>225</v>
      </c>
      <c r="E70" s="2">
        <v>10</v>
      </c>
      <c r="F70" s="2">
        <v>0</v>
      </c>
      <c r="G70" s="2">
        <f t="shared" si="0"/>
        <v>10</v>
      </c>
      <c r="H70" s="2" t="str">
        <f t="shared" si="1"/>
        <v>Available</v>
      </c>
    </row>
    <row r="71" spans="1:10" ht="15" customHeight="1" x14ac:dyDescent="0.25">
      <c r="A71" s="97"/>
      <c r="B71" s="2" t="s">
        <v>736</v>
      </c>
      <c r="C71" s="2">
        <v>300</v>
      </c>
      <c r="D71" s="2">
        <v>360</v>
      </c>
      <c r="E71" s="2">
        <v>4</v>
      </c>
      <c r="F71" s="2">
        <v>4</v>
      </c>
      <c r="G71" s="2">
        <f t="shared" si="0"/>
        <v>0</v>
      </c>
      <c r="H71" s="2" t="str">
        <f t="shared" si="1"/>
        <v>Reorder</v>
      </c>
    </row>
    <row r="72" spans="1:10" ht="15" customHeight="1" x14ac:dyDescent="0.25">
      <c r="A72" s="97"/>
      <c r="B72" s="2" t="s">
        <v>737</v>
      </c>
      <c r="C72" s="2">
        <v>300</v>
      </c>
      <c r="D72" s="2">
        <v>360</v>
      </c>
      <c r="E72" s="2">
        <v>2</v>
      </c>
      <c r="F72" s="2">
        <v>1</v>
      </c>
      <c r="G72" s="2">
        <f t="shared" si="0"/>
        <v>1</v>
      </c>
      <c r="H72" s="2" t="str">
        <f t="shared" si="1"/>
        <v>Reorder</v>
      </c>
    </row>
    <row r="73" spans="1:10" ht="15" customHeight="1" x14ac:dyDescent="0.25">
      <c r="A73" s="97"/>
      <c r="B73" s="2" t="s">
        <v>711</v>
      </c>
      <c r="C73" s="2">
        <v>300</v>
      </c>
      <c r="D73" s="2">
        <v>320</v>
      </c>
      <c r="E73" s="2">
        <v>6</v>
      </c>
      <c r="F73" s="2">
        <v>3</v>
      </c>
      <c r="G73" s="2">
        <f t="shared" ref="G73:G93" si="2">E73-F73</f>
        <v>3</v>
      </c>
      <c r="H73" s="2" t="str">
        <f t="shared" ref="H73:H93" si="3">IF(G73&lt;=2,"Reorder","Available")</f>
        <v>Available</v>
      </c>
    </row>
    <row r="74" spans="1:10" ht="15" customHeight="1" x14ac:dyDescent="0.25">
      <c r="A74" s="97"/>
      <c r="B74" s="2" t="s">
        <v>712</v>
      </c>
      <c r="C74" s="2">
        <v>300</v>
      </c>
      <c r="D74" s="2">
        <v>320</v>
      </c>
      <c r="E74" s="2">
        <v>2</v>
      </c>
      <c r="F74" s="2">
        <v>2</v>
      </c>
      <c r="G74" s="2">
        <f t="shared" si="2"/>
        <v>0</v>
      </c>
      <c r="H74" s="2" t="str">
        <f t="shared" si="3"/>
        <v>Reorder</v>
      </c>
    </row>
    <row r="75" spans="1:10" ht="15" customHeight="1" x14ac:dyDescent="0.25">
      <c r="A75" s="97"/>
      <c r="B75" s="2" t="s">
        <v>738</v>
      </c>
      <c r="C75" s="2">
        <v>210</v>
      </c>
      <c r="D75" s="2">
        <v>260</v>
      </c>
      <c r="E75" s="2">
        <v>10</v>
      </c>
      <c r="F75" s="2">
        <v>7</v>
      </c>
      <c r="G75" s="2">
        <f t="shared" si="2"/>
        <v>3</v>
      </c>
      <c r="H75" s="2" t="str">
        <f t="shared" si="3"/>
        <v>Available</v>
      </c>
    </row>
    <row r="76" spans="1:10" ht="15" customHeight="1" x14ac:dyDescent="0.25">
      <c r="A76" s="97"/>
      <c r="B76" s="2" t="s">
        <v>739</v>
      </c>
      <c r="C76" s="2">
        <v>210</v>
      </c>
      <c r="D76" s="2">
        <v>260</v>
      </c>
      <c r="E76" s="2">
        <v>10</v>
      </c>
      <c r="F76" s="2">
        <v>7</v>
      </c>
      <c r="G76" s="2">
        <f t="shared" si="2"/>
        <v>3</v>
      </c>
      <c r="H76" s="2" t="str">
        <f t="shared" si="3"/>
        <v>Available</v>
      </c>
    </row>
    <row r="77" spans="1:10" ht="15" customHeight="1" x14ac:dyDescent="0.25">
      <c r="A77" s="97"/>
      <c r="B77" s="2" t="s">
        <v>727</v>
      </c>
      <c r="C77" s="2">
        <v>305</v>
      </c>
      <c r="D77" s="2">
        <v>350</v>
      </c>
      <c r="E77" s="2">
        <v>2</v>
      </c>
      <c r="F77" s="2">
        <v>0</v>
      </c>
      <c r="G77" s="2">
        <f t="shared" si="2"/>
        <v>2</v>
      </c>
      <c r="H77" s="2" t="str">
        <f t="shared" si="3"/>
        <v>Reorder</v>
      </c>
    </row>
    <row r="78" spans="1:10" ht="15" customHeight="1" x14ac:dyDescent="0.25">
      <c r="A78" s="97"/>
      <c r="B78" s="2" t="s">
        <v>728</v>
      </c>
      <c r="C78" s="2">
        <v>300</v>
      </c>
      <c r="D78" s="2">
        <v>350</v>
      </c>
      <c r="E78" s="2">
        <v>6</v>
      </c>
      <c r="F78" s="2">
        <v>4</v>
      </c>
      <c r="G78" s="2">
        <f t="shared" si="2"/>
        <v>2</v>
      </c>
      <c r="H78" s="2" t="str">
        <f t="shared" si="3"/>
        <v>Reorder</v>
      </c>
      <c r="J78" s="2" t="s">
        <v>1</v>
      </c>
    </row>
    <row r="79" spans="1:10" ht="15" customHeight="1" x14ac:dyDescent="0.25">
      <c r="A79" s="97"/>
      <c r="B79" s="2" t="s">
        <v>740</v>
      </c>
      <c r="C79" s="2">
        <v>605</v>
      </c>
      <c r="D79" s="2">
        <v>650</v>
      </c>
      <c r="E79" s="2">
        <v>2</v>
      </c>
      <c r="F79" s="2">
        <v>1</v>
      </c>
      <c r="G79" s="2">
        <f t="shared" si="2"/>
        <v>1</v>
      </c>
      <c r="H79" s="2" t="str">
        <f t="shared" si="3"/>
        <v>Reorder</v>
      </c>
    </row>
    <row r="80" spans="1:10" ht="15" customHeight="1" x14ac:dyDescent="0.25">
      <c r="A80" s="97"/>
      <c r="B80" s="2" t="s">
        <v>741</v>
      </c>
      <c r="C80" s="2">
        <v>605</v>
      </c>
      <c r="D80" s="2">
        <v>650</v>
      </c>
      <c r="E80" s="2">
        <v>2</v>
      </c>
      <c r="F80" s="2">
        <v>1</v>
      </c>
      <c r="G80" s="2">
        <f t="shared" si="2"/>
        <v>1</v>
      </c>
      <c r="H80" s="2" t="str">
        <f t="shared" si="3"/>
        <v>Reorder</v>
      </c>
    </row>
    <row r="81" spans="1:8" ht="15" customHeight="1" x14ac:dyDescent="0.25">
      <c r="A81" s="97"/>
      <c r="B81" s="2" t="s">
        <v>707</v>
      </c>
      <c r="C81" s="2">
        <v>280</v>
      </c>
      <c r="D81" s="2">
        <v>350</v>
      </c>
      <c r="E81" s="2">
        <v>4</v>
      </c>
      <c r="F81" s="2">
        <v>2</v>
      </c>
      <c r="G81" s="2">
        <f t="shared" si="2"/>
        <v>2</v>
      </c>
      <c r="H81" s="2" t="str">
        <f t="shared" si="3"/>
        <v>Reorder</v>
      </c>
    </row>
    <row r="82" spans="1:8" ht="15" customHeight="1" x14ac:dyDescent="0.25">
      <c r="A82" s="97"/>
      <c r="B82" s="2" t="s">
        <v>742</v>
      </c>
      <c r="C82" s="2">
        <v>280</v>
      </c>
      <c r="D82" s="2">
        <v>350</v>
      </c>
      <c r="E82" s="2">
        <v>4</v>
      </c>
      <c r="F82" s="2">
        <v>1</v>
      </c>
      <c r="G82" s="2">
        <f t="shared" si="2"/>
        <v>3</v>
      </c>
      <c r="H82" s="2" t="str">
        <f t="shared" si="3"/>
        <v>Available</v>
      </c>
    </row>
    <row r="83" spans="1:8" ht="15" customHeight="1" x14ac:dyDescent="0.25">
      <c r="A83" s="97"/>
      <c r="B83" s="2" t="s">
        <v>743</v>
      </c>
      <c r="C83" s="2">
        <v>600</v>
      </c>
      <c r="D83" s="2">
        <v>700</v>
      </c>
      <c r="E83" s="2">
        <v>4</v>
      </c>
      <c r="F83" s="2">
        <v>3</v>
      </c>
      <c r="G83" s="2">
        <f t="shared" si="2"/>
        <v>1</v>
      </c>
      <c r="H83" s="2" t="str">
        <f t="shared" si="3"/>
        <v>Reorder</v>
      </c>
    </row>
    <row r="84" spans="1:8" ht="15" customHeight="1" x14ac:dyDescent="0.25">
      <c r="A84" s="97"/>
      <c r="B84" s="2" t="s">
        <v>744</v>
      </c>
      <c r="C84" s="2">
        <v>600</v>
      </c>
      <c r="D84" s="2">
        <v>700</v>
      </c>
      <c r="E84" s="2">
        <v>2</v>
      </c>
      <c r="F84" s="2">
        <v>1</v>
      </c>
      <c r="G84" s="2">
        <f t="shared" si="2"/>
        <v>1</v>
      </c>
      <c r="H84" s="2" t="str">
        <f t="shared" si="3"/>
        <v>Reorder</v>
      </c>
    </row>
    <row r="85" spans="1:8" ht="15" customHeight="1" x14ac:dyDescent="0.25">
      <c r="A85" s="97"/>
      <c r="B85" s="2" t="s">
        <v>745</v>
      </c>
      <c r="C85" s="2">
        <v>300</v>
      </c>
      <c r="D85" s="2">
        <v>400</v>
      </c>
      <c r="E85" s="2">
        <v>2</v>
      </c>
      <c r="F85" s="2">
        <v>1</v>
      </c>
      <c r="G85" s="2">
        <f t="shared" si="2"/>
        <v>1</v>
      </c>
      <c r="H85" s="2" t="str">
        <f t="shared" si="3"/>
        <v>Reorder</v>
      </c>
    </row>
    <row r="86" spans="1:8" ht="15" customHeight="1" x14ac:dyDescent="0.25">
      <c r="A86" s="97"/>
      <c r="B86" s="2" t="s">
        <v>746</v>
      </c>
      <c r="C86" s="2">
        <v>300</v>
      </c>
      <c r="D86" s="2">
        <v>400</v>
      </c>
      <c r="E86" s="2">
        <v>2</v>
      </c>
      <c r="F86" s="2">
        <v>0</v>
      </c>
      <c r="G86" s="2">
        <f t="shared" si="2"/>
        <v>2</v>
      </c>
      <c r="H86" s="2" t="str">
        <f t="shared" si="3"/>
        <v>Reorder</v>
      </c>
    </row>
    <row r="87" spans="1:8" ht="15" customHeight="1" x14ac:dyDescent="0.25">
      <c r="A87" s="32"/>
      <c r="B87" s="2" t="s">
        <v>925</v>
      </c>
      <c r="C87" s="2">
        <v>550</v>
      </c>
      <c r="D87" s="2">
        <v>650</v>
      </c>
      <c r="E87" s="2">
        <v>2</v>
      </c>
      <c r="F87" s="2">
        <v>0</v>
      </c>
      <c r="G87" s="2">
        <f t="shared" si="2"/>
        <v>2</v>
      </c>
      <c r="H87" s="2" t="str">
        <f t="shared" si="3"/>
        <v>Reorder</v>
      </c>
    </row>
    <row r="88" spans="1:8" ht="15" customHeight="1" x14ac:dyDescent="0.25">
      <c r="A88" s="32"/>
      <c r="B88" s="2" t="s">
        <v>935</v>
      </c>
      <c r="C88" s="2">
        <v>550</v>
      </c>
      <c r="D88" s="2">
        <v>650</v>
      </c>
      <c r="E88" s="2">
        <v>2</v>
      </c>
      <c r="F88" s="2">
        <v>0</v>
      </c>
      <c r="G88" s="2">
        <f t="shared" si="2"/>
        <v>2</v>
      </c>
      <c r="H88" s="2" t="str">
        <f t="shared" si="3"/>
        <v>Reorder</v>
      </c>
    </row>
    <row r="89" spans="1:8" ht="15" customHeight="1" x14ac:dyDescent="0.25">
      <c r="B89" s="2" t="s">
        <v>747</v>
      </c>
      <c r="C89" s="2">
        <v>215</v>
      </c>
      <c r="D89" s="2">
        <v>250</v>
      </c>
      <c r="E89" s="2">
        <v>4</v>
      </c>
      <c r="F89" s="2">
        <v>1</v>
      </c>
      <c r="G89" s="2">
        <f t="shared" si="2"/>
        <v>3</v>
      </c>
      <c r="H89" s="2" t="str">
        <f t="shared" si="3"/>
        <v>Available</v>
      </c>
    </row>
    <row r="90" spans="1:8" ht="15" customHeight="1" x14ac:dyDescent="0.25">
      <c r="B90" s="2" t="s">
        <v>748</v>
      </c>
      <c r="C90" s="2">
        <v>215</v>
      </c>
      <c r="D90" s="2">
        <v>250</v>
      </c>
      <c r="E90" s="2">
        <v>4</v>
      </c>
      <c r="F90" s="2">
        <v>1</v>
      </c>
      <c r="G90" s="2">
        <f t="shared" si="2"/>
        <v>3</v>
      </c>
      <c r="H90" s="2" t="str">
        <f t="shared" si="3"/>
        <v>Available</v>
      </c>
    </row>
    <row r="92" spans="1:8" ht="21" customHeight="1" x14ac:dyDescent="0.25">
      <c r="A92" s="94" t="s">
        <v>1026</v>
      </c>
      <c r="B92" s="2" t="s">
        <v>1027</v>
      </c>
      <c r="C92" s="2">
        <v>700</v>
      </c>
      <c r="D92" s="2">
        <v>850</v>
      </c>
      <c r="E92" s="2">
        <v>1</v>
      </c>
      <c r="F92" s="2">
        <v>0</v>
      </c>
      <c r="G92" s="2">
        <f t="shared" si="2"/>
        <v>1</v>
      </c>
      <c r="H92" s="2" t="str">
        <f t="shared" si="3"/>
        <v>Reorder</v>
      </c>
    </row>
    <row r="93" spans="1:8" ht="21" customHeight="1" x14ac:dyDescent="0.25">
      <c r="A93" s="95"/>
      <c r="B93" s="2" t="s">
        <v>1028</v>
      </c>
      <c r="C93" s="2">
        <v>700</v>
      </c>
      <c r="D93" s="2">
        <v>850</v>
      </c>
      <c r="E93" s="2">
        <v>1</v>
      </c>
      <c r="F93" s="2">
        <v>1</v>
      </c>
      <c r="G93" s="2">
        <f t="shared" si="2"/>
        <v>0</v>
      </c>
      <c r="H93" s="2" t="str">
        <f t="shared" si="3"/>
        <v>Reorder</v>
      </c>
    </row>
  </sheetData>
  <mergeCells count="8">
    <mergeCell ref="A92:A93"/>
    <mergeCell ref="A58:A86"/>
    <mergeCell ref="B1:F1"/>
    <mergeCell ref="A3:A20"/>
    <mergeCell ref="A22:A33"/>
    <mergeCell ref="A35:A42"/>
    <mergeCell ref="A51:A56"/>
    <mergeCell ref="A44:A49"/>
  </mergeCells>
  <conditionalFormatting sqref="B33:C33 B1:F1 C37:C50 D37:D52 B2:D32">
    <cfRule type="expression" dxfId="463" priority="10">
      <formula>ROW()=CELL(ROW)</formula>
    </cfRule>
  </conditionalFormatting>
  <conditionalFormatting sqref="B34:D36">
    <cfRule type="expression" dxfId="462" priority="9">
      <formula>ROW()=CELL(ROW)</formula>
    </cfRule>
  </conditionalFormatting>
  <conditionalFormatting sqref="E2">
    <cfRule type="expression" dxfId="461" priority="8">
      <formula>ROW()=CELL(ROW)</formula>
    </cfRule>
  </conditionalFormatting>
  <conditionalFormatting sqref="H2">
    <cfRule type="containsText" dxfId="460" priority="7" operator="containsText" text="Reorder ">
      <formula>NOT(ISERROR(SEARCH("Reorder ",H2)))</formula>
    </cfRule>
  </conditionalFormatting>
  <conditionalFormatting sqref="H1:H1048576">
    <cfRule type="containsText" dxfId="459" priority="6" operator="containsText" text="Reorder">
      <formula>NOT(ISERROR(SEARCH("Reorder",H1)))</formula>
    </cfRule>
  </conditionalFormatting>
  <conditionalFormatting sqref="H2">
    <cfRule type="containsText" dxfId="458" priority="5" operator="containsText" text="Reorder">
      <formula>NOT(ISERROR(SEARCH("Reorder",H2)))</formula>
    </cfRule>
  </conditionalFormatting>
  <conditionalFormatting sqref="H2">
    <cfRule type="containsText" dxfId="457" priority="4" operator="containsText" text="Reorder">
      <formula>NOT(ISERROR(SEARCH("Reorder",H2)))</formula>
    </cfRule>
  </conditionalFormatting>
  <conditionalFormatting sqref="H2">
    <cfRule type="containsText" dxfId="456" priority="3" operator="containsText" text="Reorder">
      <formula>NOT(ISERROR(SEARCH("Reorder",H2)))</formula>
    </cfRule>
  </conditionalFormatting>
  <conditionalFormatting sqref="H2">
    <cfRule type="containsText" dxfId="455" priority="2" operator="containsText" text="Reorder">
      <formula>NOT(ISERROR(SEARCH("Reorder",H2)))</formula>
    </cfRule>
  </conditionalFormatting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6"/>
  <sheetViews>
    <sheetView workbookViewId="0">
      <selection activeCell="E3" sqref="E3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7" style="2" customWidth="1"/>
    <col min="7" max="7" width="13" style="2" customWidth="1"/>
    <col min="8" max="16384" width="9.140625" style="2"/>
  </cols>
  <sheetData>
    <row r="1" spans="1:7" ht="44.25" customHeight="1" x14ac:dyDescent="0.25">
      <c r="A1" s="71" t="s">
        <v>301</v>
      </c>
      <c r="B1" s="72"/>
      <c r="C1" s="72"/>
      <c r="D1" s="72"/>
    </row>
    <row r="2" spans="1:7" s="7" customFormat="1" ht="61.5" customHeight="1" x14ac:dyDescent="0.25">
      <c r="A2" s="4" t="s">
        <v>65</v>
      </c>
      <c r="B2" s="5" t="s">
        <v>60</v>
      </c>
      <c r="C2" s="5" t="s">
        <v>62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7" t="s">
        <v>302</v>
      </c>
      <c r="B3" s="2">
        <v>450</v>
      </c>
      <c r="C3" s="2">
        <v>550</v>
      </c>
      <c r="D3" s="2">
        <v>4</v>
      </c>
      <c r="E3" s="2">
        <v>3</v>
      </c>
      <c r="F3" s="2">
        <f>D3-E3</f>
        <v>1</v>
      </c>
      <c r="G3" s="2" t="str">
        <f>IF(F3&lt;=2,"Reorder","Available")</f>
        <v>Reorder</v>
      </c>
    </row>
    <row r="4" spans="1:7" ht="15" customHeight="1" x14ac:dyDescent="0.25">
      <c r="A4" s="7" t="s">
        <v>303</v>
      </c>
      <c r="B4" s="2">
        <v>450</v>
      </c>
      <c r="C4" s="2">
        <v>550</v>
      </c>
      <c r="D4" s="2">
        <v>2</v>
      </c>
      <c r="E4" s="2">
        <v>1</v>
      </c>
      <c r="F4" s="2">
        <f t="shared" ref="F4:F7" si="0">D4-E4</f>
        <v>1</v>
      </c>
      <c r="G4" s="2" t="str">
        <f t="shared" ref="G4:G7" si="1">IF(F4&lt;=2,"Reorder","Available")</f>
        <v>Reorder</v>
      </c>
    </row>
    <row r="5" spans="1:7" ht="15" customHeight="1" x14ac:dyDescent="0.25">
      <c r="A5" s="7" t="s">
        <v>118</v>
      </c>
      <c r="B5" s="2">
        <v>600</v>
      </c>
      <c r="C5" s="2">
        <v>700</v>
      </c>
      <c r="D5" s="2">
        <v>6</v>
      </c>
      <c r="E5" s="2">
        <v>5</v>
      </c>
      <c r="F5" s="2">
        <f t="shared" si="0"/>
        <v>1</v>
      </c>
      <c r="G5" s="2" t="str">
        <f t="shared" si="1"/>
        <v>Reorder</v>
      </c>
    </row>
    <row r="6" spans="1:7" ht="15" customHeight="1" x14ac:dyDescent="0.25">
      <c r="A6" s="7" t="s">
        <v>907</v>
      </c>
      <c r="B6" s="2">
        <v>500</v>
      </c>
      <c r="C6" s="2">
        <v>600</v>
      </c>
      <c r="D6" s="2">
        <v>3</v>
      </c>
      <c r="E6" s="2">
        <v>1</v>
      </c>
      <c r="F6" s="2">
        <f t="shared" si="0"/>
        <v>2</v>
      </c>
      <c r="G6" s="2" t="str">
        <f t="shared" si="1"/>
        <v>Reorder</v>
      </c>
    </row>
    <row r="7" spans="1:7" ht="15" customHeight="1" x14ac:dyDescent="0.25">
      <c r="A7" s="7" t="s">
        <v>926</v>
      </c>
      <c r="B7" s="2">
        <v>1450</v>
      </c>
      <c r="C7" s="2">
        <v>1550</v>
      </c>
      <c r="D7" s="2">
        <v>1</v>
      </c>
      <c r="E7" s="2">
        <v>1</v>
      </c>
      <c r="F7" s="2">
        <f t="shared" si="0"/>
        <v>0</v>
      </c>
      <c r="G7" s="2" t="str">
        <f t="shared" si="1"/>
        <v>Reorder</v>
      </c>
    </row>
    <row r="8" spans="1:7" ht="44.25" customHeight="1" x14ac:dyDescent="0.25">
      <c r="A8" s="71" t="s">
        <v>304</v>
      </c>
      <c r="B8" s="72"/>
      <c r="C8" s="72"/>
      <c r="D8" s="72"/>
    </row>
    <row r="9" spans="1:7" s="7" customFormat="1" ht="61.5" customHeight="1" x14ac:dyDescent="0.25">
      <c r="A9" s="4" t="s">
        <v>65</v>
      </c>
      <c r="B9" s="5" t="s">
        <v>224</v>
      </c>
      <c r="C9" s="5" t="s">
        <v>225</v>
      </c>
      <c r="D9" s="5" t="s">
        <v>680</v>
      </c>
      <c r="E9" s="5" t="s">
        <v>681</v>
      </c>
      <c r="F9" s="5" t="s">
        <v>641</v>
      </c>
      <c r="G9" s="5" t="s">
        <v>638</v>
      </c>
    </row>
    <row r="10" spans="1:7" ht="15" customHeight="1" x14ac:dyDescent="0.25">
      <c r="A10" s="7" t="s">
        <v>305</v>
      </c>
      <c r="B10" s="2">
        <v>940</v>
      </c>
      <c r="C10" s="2">
        <v>1200</v>
      </c>
      <c r="D10" s="2">
        <v>1</v>
      </c>
      <c r="E10" s="2">
        <v>0</v>
      </c>
      <c r="F10" s="2">
        <f>D10-E10</f>
        <v>1</v>
      </c>
      <c r="G10" s="2" t="str">
        <f>IF(F10&lt;=1,"Reorder","Available")</f>
        <v>Reorder</v>
      </c>
    </row>
    <row r="11" spans="1:7" ht="15" customHeight="1" x14ac:dyDescent="0.25">
      <c r="A11" s="7" t="s">
        <v>306</v>
      </c>
      <c r="B11" s="2">
        <v>1400</v>
      </c>
      <c r="C11" s="2">
        <v>1550</v>
      </c>
      <c r="D11" s="2">
        <v>2</v>
      </c>
      <c r="E11" s="2">
        <v>1</v>
      </c>
      <c r="F11" s="2">
        <f>D11-E11</f>
        <v>1</v>
      </c>
      <c r="G11" s="2" t="str">
        <f>IF(F11&lt;=1,"Reorder","Available")</f>
        <v>Reorder</v>
      </c>
    </row>
    <row r="12" spans="1:7" ht="15" customHeight="1" x14ac:dyDescent="0.25">
      <c r="A12" s="7"/>
    </row>
    <row r="13" spans="1:7" ht="15" customHeight="1" x14ac:dyDescent="0.25">
      <c r="A13" s="7"/>
    </row>
    <row r="14" spans="1:7" ht="15.75" customHeight="1" x14ac:dyDescent="0.25"/>
    <row r="15" spans="1:7" ht="15" customHeight="1" x14ac:dyDescent="0.25">
      <c r="A15" s="31"/>
      <c r="B15" s="7"/>
      <c r="C15" s="7"/>
      <c r="D15" s="7"/>
    </row>
    <row r="16" spans="1:7" s="7" customFormat="1" ht="15" customHeight="1" x14ac:dyDescent="0.25">
      <c r="A16" s="4"/>
      <c r="B16" s="5"/>
      <c r="C16" s="5"/>
    </row>
  </sheetData>
  <mergeCells count="2">
    <mergeCell ref="A1:D1"/>
    <mergeCell ref="A8:D8"/>
  </mergeCells>
  <conditionalFormatting sqref="C17:C25 B17:B24 A14:B14 A2:C7 A10:C13 A1:D1 A15:D15 A8:D8">
    <cfRule type="expression" dxfId="454" priority="22">
      <formula>ROW()=CELL(ROW)</formula>
    </cfRule>
  </conditionalFormatting>
  <conditionalFormatting sqref="A16:C16">
    <cfRule type="expression" dxfId="453" priority="21">
      <formula>ROW()=CELL(ROW)</formula>
    </cfRule>
  </conditionalFormatting>
  <conditionalFormatting sqref="A9:C9">
    <cfRule type="expression" dxfId="452" priority="20">
      <formula>ROW()=CELL(ROW)</formula>
    </cfRule>
  </conditionalFormatting>
  <conditionalFormatting sqref="D2">
    <cfRule type="expression" dxfId="451" priority="18">
      <formula>ROW()=CELL(ROW)</formula>
    </cfRule>
  </conditionalFormatting>
  <conditionalFormatting sqref="G2">
    <cfRule type="containsText" dxfId="450" priority="17" operator="containsText" text="Reorder ">
      <formula>NOT(ISERROR(SEARCH("Reorder ",G2)))</formula>
    </cfRule>
  </conditionalFormatting>
  <conditionalFormatting sqref="G2">
    <cfRule type="containsText" dxfId="449" priority="16" operator="containsText" text="Reorder">
      <formula>NOT(ISERROR(SEARCH("Reorder",G2)))</formula>
    </cfRule>
  </conditionalFormatting>
  <conditionalFormatting sqref="G2">
    <cfRule type="containsText" dxfId="448" priority="15" operator="containsText" text="Reorder">
      <formula>NOT(ISERROR(SEARCH("Reorder",G2)))</formula>
    </cfRule>
  </conditionalFormatting>
  <conditionalFormatting sqref="G2">
    <cfRule type="containsText" dxfId="447" priority="14" operator="containsText" text="Reorder">
      <formula>NOT(ISERROR(SEARCH("Reorder",G2)))</formula>
    </cfRule>
  </conditionalFormatting>
  <conditionalFormatting sqref="G2">
    <cfRule type="containsText" dxfId="446" priority="13" operator="containsText" text="Reorder">
      <formula>NOT(ISERROR(SEARCH("Reorder",G2)))</formula>
    </cfRule>
  </conditionalFormatting>
  <conditionalFormatting sqref="G2">
    <cfRule type="containsText" dxfId="445" priority="12" operator="containsText" text="Reorder">
      <formula>NOT(ISERROR(SEARCH("Reorder",G2)))</formula>
    </cfRule>
  </conditionalFormatting>
  <conditionalFormatting sqref="G2">
    <cfRule type="containsText" dxfId="444" priority="11" operator="containsText" text="Reorder">
      <formula>NOT(ISERROR(SEARCH("Reorder",G2)))</formula>
    </cfRule>
  </conditionalFormatting>
  <conditionalFormatting sqref="D9">
    <cfRule type="expression" dxfId="443" priority="9">
      <formula>ROW()=CELL(ROW)</formula>
    </cfRule>
  </conditionalFormatting>
  <conditionalFormatting sqref="G9">
    <cfRule type="containsText" dxfId="442" priority="8" operator="containsText" text="Reorder ">
      <formula>NOT(ISERROR(SEARCH("Reorder ",G9)))</formula>
    </cfRule>
  </conditionalFormatting>
  <conditionalFormatting sqref="G9">
    <cfRule type="containsText" dxfId="441" priority="7" operator="containsText" text="Reorder">
      <formula>NOT(ISERROR(SEARCH("Reorder",G9)))</formula>
    </cfRule>
  </conditionalFormatting>
  <conditionalFormatting sqref="G9">
    <cfRule type="containsText" dxfId="440" priority="6" operator="containsText" text="Reorder">
      <formula>NOT(ISERROR(SEARCH("Reorder",G9)))</formula>
    </cfRule>
  </conditionalFormatting>
  <conditionalFormatting sqref="G9">
    <cfRule type="containsText" dxfId="439" priority="5" operator="containsText" text="Reorder">
      <formula>NOT(ISERROR(SEARCH("Reorder",G9)))</formula>
    </cfRule>
  </conditionalFormatting>
  <conditionalFormatting sqref="G9">
    <cfRule type="containsText" dxfId="438" priority="4" operator="containsText" text="Reorder">
      <formula>NOT(ISERROR(SEARCH("Reorder",G9)))</formula>
    </cfRule>
  </conditionalFormatting>
  <conditionalFormatting sqref="G9">
    <cfRule type="containsText" dxfId="437" priority="3" operator="containsText" text="Reorder">
      <formula>NOT(ISERROR(SEARCH("Reorder",G9)))</formula>
    </cfRule>
  </conditionalFormatting>
  <conditionalFormatting sqref="G9">
    <cfRule type="containsText" dxfId="436" priority="2" operator="containsText" text="Reorder">
      <formula>NOT(ISERROR(SEARCH("Reorder",G9)))</formula>
    </cfRule>
  </conditionalFormatting>
  <conditionalFormatting sqref="G1:G1048576">
    <cfRule type="containsText" dxfId="435" priority="1" operator="containsText" text="Reorder">
      <formula>NOT(ISERROR(SEARCH("Reorder",G1)))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36"/>
  <sheetViews>
    <sheetView topLeftCell="A4" workbookViewId="0">
      <selection activeCell="L27" sqref="L27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7.5703125" style="2" customWidth="1"/>
    <col min="5" max="5" width="16.28515625" style="2" bestFit="1" customWidth="1"/>
    <col min="6" max="6" width="16.42578125" style="2" customWidth="1"/>
    <col min="7" max="7" width="11.140625" style="2" customWidth="1"/>
    <col min="8" max="16384" width="9.140625" style="2"/>
  </cols>
  <sheetData>
    <row r="1" spans="1:7" ht="44.25" customHeight="1" x14ac:dyDescent="0.25">
      <c r="A1" s="71" t="s">
        <v>307</v>
      </c>
      <c r="B1" s="72"/>
      <c r="C1" s="72"/>
      <c r="D1" s="72"/>
      <c r="E1" s="72"/>
    </row>
    <row r="2" spans="1:7" s="7" customFormat="1" ht="61.5" customHeight="1" x14ac:dyDescent="0.25">
      <c r="A2" s="4" t="s">
        <v>65</v>
      </c>
      <c r="B2" s="5" t="s">
        <v>224</v>
      </c>
      <c r="C2" s="5" t="s">
        <v>225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7" t="s">
        <v>1015</v>
      </c>
      <c r="B3" s="2">
        <v>500</v>
      </c>
      <c r="C3" s="2">
        <v>650</v>
      </c>
      <c r="D3" s="2">
        <v>3</v>
      </c>
      <c r="E3" s="2">
        <v>0</v>
      </c>
      <c r="F3" s="2">
        <f>D3-E3</f>
        <v>3</v>
      </c>
      <c r="G3" s="2" t="str">
        <f>IF(F3&lt;=1,"Reorder","Available")</f>
        <v>Available</v>
      </c>
    </row>
    <row r="4" spans="1:7" ht="15" customHeight="1" x14ac:dyDescent="0.25">
      <c r="A4" s="7" t="s">
        <v>1015</v>
      </c>
      <c r="B4" s="2">
        <v>450</v>
      </c>
      <c r="C4" s="2">
        <v>550</v>
      </c>
      <c r="D4" s="2">
        <v>1</v>
      </c>
      <c r="E4" s="2">
        <v>0</v>
      </c>
      <c r="F4" s="2">
        <f>D4-E4</f>
        <v>1</v>
      </c>
      <c r="G4" s="2" t="str">
        <f>IF(F4&lt;=1,"Reorder","Available")</f>
        <v>Reorder</v>
      </c>
    </row>
    <row r="5" spans="1:7" ht="15" customHeight="1" x14ac:dyDescent="0.25">
      <c r="A5" s="7" t="s">
        <v>308</v>
      </c>
      <c r="B5" s="2">
        <v>415</v>
      </c>
      <c r="C5" s="2">
        <v>550</v>
      </c>
      <c r="D5" s="2">
        <v>7</v>
      </c>
      <c r="E5" s="2">
        <v>0</v>
      </c>
      <c r="F5" s="2">
        <f t="shared" ref="F5:F26" si="0">D5-E5</f>
        <v>7</v>
      </c>
      <c r="G5" s="2" t="str">
        <f t="shared" ref="G5:G26" si="1">IF(F5&lt;=1,"Reorder","Available")</f>
        <v>Available</v>
      </c>
    </row>
    <row r="6" spans="1:7" ht="15" customHeight="1" x14ac:dyDescent="0.25">
      <c r="A6" s="7" t="s">
        <v>309</v>
      </c>
      <c r="B6" s="2">
        <v>540</v>
      </c>
      <c r="C6" s="2">
        <v>700</v>
      </c>
      <c r="D6" s="2">
        <v>4</v>
      </c>
      <c r="E6" s="2">
        <v>2</v>
      </c>
      <c r="F6" s="2">
        <f t="shared" si="0"/>
        <v>2</v>
      </c>
      <c r="G6" s="2" t="str">
        <f t="shared" si="1"/>
        <v>Available</v>
      </c>
    </row>
    <row r="7" spans="1:7" ht="15" customHeight="1" x14ac:dyDescent="0.25">
      <c r="A7" s="7" t="s">
        <v>310</v>
      </c>
      <c r="B7" s="2">
        <v>500</v>
      </c>
      <c r="C7" s="2">
        <v>600</v>
      </c>
      <c r="D7" s="2">
        <v>2</v>
      </c>
      <c r="E7" s="2">
        <v>2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7" t="s">
        <v>312</v>
      </c>
      <c r="B8" s="2">
        <v>520</v>
      </c>
      <c r="C8" s="2">
        <v>650</v>
      </c>
      <c r="D8" s="2">
        <v>3</v>
      </c>
      <c r="E8" s="2">
        <v>0</v>
      </c>
      <c r="F8" s="2">
        <f t="shared" si="0"/>
        <v>3</v>
      </c>
      <c r="G8" s="2" t="str">
        <f t="shared" si="1"/>
        <v>Available</v>
      </c>
    </row>
    <row r="9" spans="1:7" ht="15" customHeight="1" x14ac:dyDescent="0.25">
      <c r="A9" s="7" t="s">
        <v>776</v>
      </c>
      <c r="B9" s="2">
        <v>540</v>
      </c>
      <c r="C9" s="2">
        <v>700</v>
      </c>
      <c r="D9" s="2">
        <v>2</v>
      </c>
      <c r="E9" s="2">
        <v>1</v>
      </c>
      <c r="F9" s="2">
        <f t="shared" si="0"/>
        <v>1</v>
      </c>
      <c r="G9" s="2" t="str">
        <f t="shared" si="1"/>
        <v>Reorder</v>
      </c>
    </row>
    <row r="10" spans="1:7" ht="15" customHeight="1" x14ac:dyDescent="0.25">
      <c r="A10" s="7" t="s">
        <v>311</v>
      </c>
      <c r="B10" s="2">
        <v>415</v>
      </c>
      <c r="C10" s="2">
        <v>550</v>
      </c>
      <c r="D10" s="2">
        <v>0</v>
      </c>
      <c r="E10" s="2">
        <v>0</v>
      </c>
      <c r="F10" s="2">
        <f t="shared" si="0"/>
        <v>0</v>
      </c>
      <c r="G10" s="2" t="str">
        <f t="shared" si="1"/>
        <v>Reorder</v>
      </c>
    </row>
    <row r="11" spans="1:7" ht="15" customHeight="1" x14ac:dyDescent="0.25">
      <c r="A11" s="7" t="s">
        <v>830</v>
      </c>
      <c r="B11" s="2">
        <v>415</v>
      </c>
      <c r="C11" s="2">
        <v>550</v>
      </c>
      <c r="D11" s="2">
        <v>2</v>
      </c>
      <c r="E11" s="2">
        <v>0</v>
      </c>
      <c r="F11" s="2">
        <f t="shared" si="0"/>
        <v>2</v>
      </c>
      <c r="G11" s="2" t="str">
        <f t="shared" si="1"/>
        <v>Available</v>
      </c>
    </row>
    <row r="12" spans="1:7" ht="15" customHeight="1" x14ac:dyDescent="0.25">
      <c r="A12" s="7" t="s">
        <v>6</v>
      </c>
      <c r="B12" s="2">
        <v>500</v>
      </c>
      <c r="C12" s="2">
        <v>600</v>
      </c>
      <c r="D12" s="2">
        <v>3</v>
      </c>
      <c r="E12" s="2">
        <v>0</v>
      </c>
      <c r="F12" s="2">
        <f t="shared" si="0"/>
        <v>3</v>
      </c>
      <c r="G12" s="2" t="str">
        <f t="shared" si="1"/>
        <v>Available</v>
      </c>
    </row>
    <row r="13" spans="1:7" ht="15" customHeight="1" x14ac:dyDescent="0.25">
      <c r="A13" s="7" t="s">
        <v>315</v>
      </c>
      <c r="B13" s="2">
        <v>610</v>
      </c>
      <c r="C13" s="2">
        <v>720</v>
      </c>
      <c r="D13" s="2">
        <v>3</v>
      </c>
      <c r="E13" s="2">
        <v>1</v>
      </c>
      <c r="F13" s="2">
        <f t="shared" si="0"/>
        <v>2</v>
      </c>
      <c r="G13" s="2" t="str">
        <f t="shared" si="1"/>
        <v>Available</v>
      </c>
    </row>
    <row r="14" spans="1:7" ht="15" customHeight="1" x14ac:dyDescent="0.25">
      <c r="A14" s="7" t="s">
        <v>1017</v>
      </c>
      <c r="B14" s="2">
        <v>620</v>
      </c>
      <c r="C14" s="2">
        <v>720</v>
      </c>
      <c r="D14" s="2">
        <v>1</v>
      </c>
      <c r="E14" s="2">
        <v>0</v>
      </c>
      <c r="F14" s="2">
        <f t="shared" si="0"/>
        <v>1</v>
      </c>
      <c r="G14" s="2" t="str">
        <f t="shared" si="1"/>
        <v>Reorder</v>
      </c>
    </row>
    <row r="15" spans="1:7" ht="15" customHeight="1" x14ac:dyDescent="0.25">
      <c r="A15" s="7" t="s">
        <v>109</v>
      </c>
      <c r="B15" s="2">
        <v>480</v>
      </c>
      <c r="C15" s="2">
        <v>600</v>
      </c>
      <c r="D15" s="2">
        <v>3</v>
      </c>
      <c r="E15" s="2">
        <v>3</v>
      </c>
      <c r="F15" s="2">
        <f t="shared" si="0"/>
        <v>0</v>
      </c>
      <c r="G15" s="2" t="str">
        <f t="shared" si="1"/>
        <v>Reorder</v>
      </c>
    </row>
    <row r="16" spans="1:7" ht="15" customHeight="1" x14ac:dyDescent="0.25">
      <c r="A16" s="7" t="s">
        <v>12</v>
      </c>
      <c r="B16" s="2">
        <v>480</v>
      </c>
      <c r="C16" s="2">
        <v>600</v>
      </c>
      <c r="D16" s="2">
        <v>2</v>
      </c>
      <c r="E16" s="2">
        <v>2</v>
      </c>
      <c r="F16" s="2">
        <f t="shared" si="0"/>
        <v>0</v>
      </c>
      <c r="G16" s="2" t="str">
        <f t="shared" si="1"/>
        <v>Reorder</v>
      </c>
    </row>
    <row r="17" spans="1:7" ht="15" customHeight="1" x14ac:dyDescent="0.25">
      <c r="A17" s="7" t="s">
        <v>115</v>
      </c>
      <c r="B17" s="2">
        <v>450</v>
      </c>
      <c r="C17" s="2">
        <v>550</v>
      </c>
      <c r="D17" s="2">
        <v>2</v>
      </c>
      <c r="E17" s="2">
        <v>0</v>
      </c>
      <c r="F17" s="2">
        <f t="shared" si="0"/>
        <v>2</v>
      </c>
      <c r="G17" s="2" t="str">
        <f t="shared" si="1"/>
        <v>Available</v>
      </c>
    </row>
    <row r="18" spans="1:7" ht="15" customHeight="1" x14ac:dyDescent="0.25">
      <c r="A18" s="7" t="s">
        <v>138</v>
      </c>
      <c r="B18" s="2">
        <v>510</v>
      </c>
      <c r="C18" s="2">
        <v>600</v>
      </c>
      <c r="D18" s="2">
        <v>3</v>
      </c>
      <c r="E18" s="2">
        <v>3</v>
      </c>
      <c r="F18" s="2">
        <f t="shared" si="0"/>
        <v>0</v>
      </c>
      <c r="G18" s="2" t="str">
        <f t="shared" si="1"/>
        <v>Reorder</v>
      </c>
    </row>
    <row r="19" spans="1:7" ht="15" customHeight="1" x14ac:dyDescent="0.25">
      <c r="A19" s="7" t="s">
        <v>13</v>
      </c>
      <c r="B19" s="2">
        <v>495</v>
      </c>
      <c r="C19" s="2">
        <v>580</v>
      </c>
      <c r="D19" s="2">
        <v>0</v>
      </c>
      <c r="E19" s="2">
        <v>0</v>
      </c>
      <c r="F19" s="2">
        <f t="shared" si="0"/>
        <v>0</v>
      </c>
      <c r="G19" s="2" t="str">
        <f t="shared" si="1"/>
        <v>Reorder</v>
      </c>
    </row>
    <row r="20" spans="1:7" ht="15.75" customHeight="1" x14ac:dyDescent="0.25">
      <c r="A20" s="2" t="s">
        <v>234</v>
      </c>
      <c r="B20" s="2">
        <v>450</v>
      </c>
      <c r="C20" s="2">
        <v>550</v>
      </c>
      <c r="D20" s="2">
        <v>2</v>
      </c>
      <c r="E20" s="2">
        <v>0</v>
      </c>
      <c r="F20" s="2">
        <f t="shared" si="0"/>
        <v>2</v>
      </c>
      <c r="G20" s="2" t="str">
        <f t="shared" si="1"/>
        <v>Available</v>
      </c>
    </row>
    <row r="21" spans="1:7" ht="15" customHeight="1" x14ac:dyDescent="0.25">
      <c r="A21" s="7" t="s">
        <v>25</v>
      </c>
      <c r="B21" s="7">
        <v>850</v>
      </c>
      <c r="C21" s="7">
        <v>600</v>
      </c>
      <c r="D21" s="2">
        <v>1</v>
      </c>
      <c r="E21" s="2">
        <v>1</v>
      </c>
      <c r="F21" s="2">
        <f t="shared" si="0"/>
        <v>0</v>
      </c>
      <c r="G21" s="2" t="str">
        <f t="shared" si="1"/>
        <v>Reorder</v>
      </c>
    </row>
    <row r="22" spans="1:7" s="7" customFormat="1" ht="15" customHeight="1" x14ac:dyDescent="0.25">
      <c r="A22" s="7" t="s">
        <v>17</v>
      </c>
      <c r="B22" s="7">
        <v>650</v>
      </c>
      <c r="C22" s="7">
        <v>800</v>
      </c>
      <c r="D22" s="2">
        <v>2</v>
      </c>
      <c r="E22" s="2">
        <v>1</v>
      </c>
      <c r="F22" s="2">
        <f t="shared" si="0"/>
        <v>1</v>
      </c>
      <c r="G22" s="2" t="str">
        <f t="shared" si="1"/>
        <v>Reorder</v>
      </c>
    </row>
    <row r="23" spans="1:7" x14ac:dyDescent="0.25">
      <c r="A23" s="7" t="s">
        <v>30</v>
      </c>
      <c r="B23" s="2">
        <v>490</v>
      </c>
      <c r="C23" s="2">
        <v>600</v>
      </c>
      <c r="D23" s="2">
        <v>1</v>
      </c>
      <c r="E23" s="2">
        <v>0</v>
      </c>
      <c r="F23" s="2">
        <f t="shared" si="0"/>
        <v>1</v>
      </c>
      <c r="G23" s="2" t="str">
        <f t="shared" si="1"/>
        <v>Reorder</v>
      </c>
    </row>
    <row r="24" spans="1:7" x14ac:dyDescent="0.25">
      <c r="A24" s="7" t="s">
        <v>313</v>
      </c>
      <c r="B24" s="2">
        <v>530</v>
      </c>
      <c r="C24" s="2">
        <v>650</v>
      </c>
      <c r="D24" s="2">
        <v>2</v>
      </c>
      <c r="E24" s="2">
        <v>1</v>
      </c>
      <c r="F24" s="2">
        <f t="shared" si="0"/>
        <v>1</v>
      </c>
      <c r="G24" s="2" t="str">
        <f t="shared" si="1"/>
        <v>Reorder</v>
      </c>
    </row>
    <row r="25" spans="1:7" x14ac:dyDescent="0.25">
      <c r="A25" s="7" t="s">
        <v>314</v>
      </c>
      <c r="B25" s="2">
        <v>380</v>
      </c>
      <c r="C25" s="2">
        <v>450</v>
      </c>
      <c r="D25" s="2">
        <v>0</v>
      </c>
      <c r="E25" s="2">
        <v>0</v>
      </c>
      <c r="F25" s="2">
        <f t="shared" si="0"/>
        <v>0</v>
      </c>
      <c r="G25" s="2" t="str">
        <f t="shared" si="1"/>
        <v>Reorder</v>
      </c>
    </row>
    <row r="26" spans="1:7" x14ac:dyDescent="0.25">
      <c r="A26" s="7" t="s">
        <v>39</v>
      </c>
      <c r="B26" s="2">
        <v>500</v>
      </c>
      <c r="C26" s="2">
        <v>600</v>
      </c>
      <c r="D26" s="2">
        <v>2</v>
      </c>
      <c r="E26" s="2">
        <v>0</v>
      </c>
      <c r="F26" s="2">
        <f t="shared" si="0"/>
        <v>2</v>
      </c>
      <c r="G26" s="2" t="str">
        <f t="shared" si="1"/>
        <v>Available</v>
      </c>
    </row>
    <row r="27" spans="1:7" ht="44.25" customHeight="1" x14ac:dyDescent="0.25">
      <c r="A27" s="71" t="s">
        <v>316</v>
      </c>
      <c r="B27" s="72"/>
      <c r="C27" s="72"/>
      <c r="D27" s="72"/>
      <c r="E27" s="72"/>
    </row>
    <row r="28" spans="1:7" s="7" customFormat="1" ht="61.5" customHeight="1" x14ac:dyDescent="0.25">
      <c r="A28" s="4" t="s">
        <v>65</v>
      </c>
      <c r="B28" s="5" t="s">
        <v>224</v>
      </c>
      <c r="C28" s="5" t="s">
        <v>225</v>
      </c>
      <c r="D28" s="5" t="s">
        <v>680</v>
      </c>
      <c r="E28" s="5" t="s">
        <v>681</v>
      </c>
      <c r="F28" s="5" t="s">
        <v>641</v>
      </c>
      <c r="G28" s="5" t="s">
        <v>638</v>
      </c>
    </row>
    <row r="29" spans="1:7" x14ac:dyDescent="0.25">
      <c r="A29" s="7" t="s">
        <v>317</v>
      </c>
      <c r="B29" s="2">
        <v>2305</v>
      </c>
      <c r="C29" s="2">
        <v>2600</v>
      </c>
      <c r="D29" s="2">
        <v>1</v>
      </c>
      <c r="E29" s="2">
        <v>1</v>
      </c>
      <c r="F29" s="2">
        <f>D29-E29</f>
        <v>0</v>
      </c>
      <c r="G29" s="2" t="str">
        <f>+IF(F29&lt;=0,"Reorder","Available")</f>
        <v>Reorder</v>
      </c>
    </row>
    <row r="30" spans="1:7" x14ac:dyDescent="0.25">
      <c r="A30" s="7" t="s">
        <v>318</v>
      </c>
      <c r="B30" s="2">
        <v>2065</v>
      </c>
      <c r="C30" s="2">
        <v>2400</v>
      </c>
      <c r="D30" s="2">
        <v>1</v>
      </c>
      <c r="E30" s="2">
        <v>0</v>
      </c>
      <c r="F30" s="2">
        <f t="shared" ref="F30:F36" si="2">D30-E30</f>
        <v>1</v>
      </c>
      <c r="G30" s="2" t="str">
        <f t="shared" ref="G30:G36" si="3">+IF(F30&lt;=0,"Reorder","Available")</f>
        <v>Available</v>
      </c>
    </row>
    <row r="31" spans="1:7" x14ac:dyDescent="0.25">
      <c r="A31" s="2" t="s">
        <v>319</v>
      </c>
      <c r="B31" s="2">
        <v>2400</v>
      </c>
      <c r="C31" s="2">
        <v>2700</v>
      </c>
      <c r="D31" s="2">
        <v>1</v>
      </c>
      <c r="E31" s="2">
        <v>1</v>
      </c>
      <c r="F31" s="2">
        <f t="shared" si="2"/>
        <v>0</v>
      </c>
      <c r="G31" s="2" t="str">
        <f t="shared" si="3"/>
        <v>Reorder</v>
      </c>
    </row>
    <row r="32" spans="1:7" x14ac:dyDescent="0.25">
      <c r="A32" s="2" t="s">
        <v>615</v>
      </c>
      <c r="B32" s="2">
        <v>1860</v>
      </c>
      <c r="C32" s="2">
        <v>2000</v>
      </c>
      <c r="D32" s="2">
        <v>1</v>
      </c>
      <c r="E32" s="2">
        <v>1</v>
      </c>
      <c r="F32" s="2">
        <f t="shared" si="2"/>
        <v>0</v>
      </c>
      <c r="G32" s="2" t="str">
        <f t="shared" si="3"/>
        <v>Reorder</v>
      </c>
    </row>
    <row r="33" spans="1:7" x14ac:dyDescent="0.25">
      <c r="A33" s="2" t="s">
        <v>885</v>
      </c>
      <c r="B33" s="2">
        <v>1550</v>
      </c>
      <c r="C33" s="2">
        <v>1850</v>
      </c>
      <c r="D33" s="2">
        <v>1</v>
      </c>
      <c r="E33" s="2">
        <v>1</v>
      </c>
      <c r="F33" s="2">
        <f t="shared" si="2"/>
        <v>0</v>
      </c>
      <c r="G33" s="2" t="str">
        <f t="shared" si="3"/>
        <v>Reorder</v>
      </c>
    </row>
    <row r="34" spans="1:7" x14ac:dyDescent="0.25">
      <c r="A34" s="2" t="s">
        <v>918</v>
      </c>
      <c r="B34" s="2">
        <v>2245</v>
      </c>
      <c r="C34" s="2">
        <v>2445</v>
      </c>
      <c r="D34" s="2">
        <v>1</v>
      </c>
      <c r="E34" s="2">
        <v>1</v>
      </c>
      <c r="F34" s="2">
        <f t="shared" si="2"/>
        <v>0</v>
      </c>
      <c r="G34" s="2" t="str">
        <f t="shared" si="3"/>
        <v>Reorder</v>
      </c>
    </row>
    <row r="35" spans="1:7" x14ac:dyDescent="0.25">
      <c r="A35" s="2" t="s">
        <v>934</v>
      </c>
      <c r="B35" s="2">
        <v>1850</v>
      </c>
      <c r="C35" s="2">
        <v>2050</v>
      </c>
      <c r="D35" s="2">
        <v>1</v>
      </c>
      <c r="E35" s="2">
        <v>0</v>
      </c>
      <c r="F35" s="2">
        <f t="shared" si="2"/>
        <v>1</v>
      </c>
      <c r="G35" s="2" t="str">
        <f t="shared" si="3"/>
        <v>Available</v>
      </c>
    </row>
    <row r="36" spans="1:7" x14ac:dyDescent="0.25">
      <c r="A36" s="2" t="s">
        <v>981</v>
      </c>
      <c r="B36" s="2">
        <v>1650</v>
      </c>
      <c r="C36" s="2">
        <v>1950</v>
      </c>
      <c r="D36" s="2">
        <v>1</v>
      </c>
      <c r="E36" s="2">
        <v>0</v>
      </c>
      <c r="F36" s="2">
        <f t="shared" si="2"/>
        <v>1</v>
      </c>
      <c r="G36" s="2" t="str">
        <f t="shared" si="3"/>
        <v>Available</v>
      </c>
    </row>
  </sheetData>
  <mergeCells count="2">
    <mergeCell ref="A1:E1"/>
    <mergeCell ref="A27:E27"/>
  </mergeCells>
  <conditionalFormatting sqref="A20:B20 A1:E1 B23:C26 A22:A26 A29:A30 B29 C29:C30 A2:C19">
    <cfRule type="expression" dxfId="434" priority="23">
      <formula>ROW()=CELL(ROW)</formula>
    </cfRule>
  </conditionalFormatting>
  <conditionalFormatting sqref="A21:C21 B22:C22">
    <cfRule type="expression" dxfId="433" priority="22">
      <formula>ROW()=CELL(ROW)</formula>
    </cfRule>
  </conditionalFormatting>
  <conditionalFormatting sqref="A28:C28 A27:E27">
    <cfRule type="expression" dxfId="432" priority="21">
      <formula>ROW()=CELL(ROW)</formula>
    </cfRule>
  </conditionalFormatting>
  <conditionalFormatting sqref="D2">
    <cfRule type="expression" dxfId="431" priority="20">
      <formula>ROW()=CELL(ROW)</formula>
    </cfRule>
  </conditionalFormatting>
  <conditionalFormatting sqref="G2">
    <cfRule type="containsText" dxfId="430" priority="19" operator="containsText" text="Reorder ">
      <formula>NOT(ISERROR(SEARCH("Reorder ",G2)))</formula>
    </cfRule>
  </conditionalFormatting>
  <conditionalFormatting sqref="G2:G26">
    <cfRule type="containsText" dxfId="429" priority="18" operator="containsText" text="Reorder">
      <formula>NOT(ISERROR(SEARCH("Reorder",G2)))</formula>
    </cfRule>
  </conditionalFormatting>
  <conditionalFormatting sqref="G2">
    <cfRule type="containsText" dxfId="428" priority="17" operator="containsText" text="Reorder">
      <formula>NOT(ISERROR(SEARCH("Reorder",G2)))</formula>
    </cfRule>
  </conditionalFormatting>
  <conditionalFormatting sqref="G2">
    <cfRule type="containsText" dxfId="427" priority="16" operator="containsText" text="Reorder">
      <formula>NOT(ISERROR(SEARCH("Reorder",G2)))</formula>
    </cfRule>
  </conditionalFormatting>
  <conditionalFormatting sqref="G2">
    <cfRule type="containsText" dxfId="426" priority="15" operator="containsText" text="Reorder">
      <formula>NOT(ISERROR(SEARCH("Reorder",G2)))</formula>
    </cfRule>
  </conditionalFormatting>
  <conditionalFormatting sqref="G2">
    <cfRule type="containsText" dxfId="425" priority="14" operator="containsText" text="Reorder">
      <formula>NOT(ISERROR(SEARCH("Reorder",G2)))</formula>
    </cfRule>
  </conditionalFormatting>
  <conditionalFormatting sqref="G2">
    <cfRule type="containsText" dxfId="424" priority="13" operator="containsText" text="Reorder">
      <formula>NOT(ISERROR(SEARCH("Reorder",G2)))</formula>
    </cfRule>
  </conditionalFormatting>
  <conditionalFormatting sqref="G2">
    <cfRule type="containsText" dxfId="423" priority="12" operator="containsText" text="Reorder">
      <formula>NOT(ISERROR(SEARCH("Reorder",G2)))</formula>
    </cfRule>
  </conditionalFormatting>
  <conditionalFormatting sqref="D28">
    <cfRule type="expression" dxfId="422" priority="11">
      <formula>ROW()=CELL(ROW)</formula>
    </cfRule>
  </conditionalFormatting>
  <conditionalFormatting sqref="G28">
    <cfRule type="containsText" dxfId="421" priority="10" operator="containsText" text="Reorder ">
      <formula>NOT(ISERROR(SEARCH("Reorder ",G28)))</formula>
    </cfRule>
  </conditionalFormatting>
  <conditionalFormatting sqref="G28">
    <cfRule type="containsText" dxfId="420" priority="9" operator="containsText" text="Reorder">
      <formula>NOT(ISERROR(SEARCH("Reorder",G28)))</formula>
    </cfRule>
  </conditionalFormatting>
  <conditionalFormatting sqref="G28">
    <cfRule type="containsText" dxfId="419" priority="8" operator="containsText" text="Reorder">
      <formula>NOT(ISERROR(SEARCH("Reorder",G28)))</formula>
    </cfRule>
  </conditionalFormatting>
  <conditionalFormatting sqref="G28">
    <cfRule type="containsText" dxfId="418" priority="7" operator="containsText" text="Reorder">
      <formula>NOT(ISERROR(SEARCH("Reorder",G28)))</formula>
    </cfRule>
  </conditionalFormatting>
  <conditionalFormatting sqref="G28">
    <cfRule type="containsText" dxfId="417" priority="6" operator="containsText" text="Reorder">
      <formula>NOT(ISERROR(SEARCH("Reorder",G28)))</formula>
    </cfRule>
  </conditionalFormatting>
  <conditionalFormatting sqref="G28">
    <cfRule type="containsText" dxfId="416" priority="5" operator="containsText" text="Reorder">
      <formula>NOT(ISERROR(SEARCH("Reorder",G28)))</formula>
    </cfRule>
  </conditionalFormatting>
  <conditionalFormatting sqref="G28">
    <cfRule type="containsText" dxfId="415" priority="4" operator="containsText" text="Reorder">
      <formula>NOT(ISERROR(SEARCH("Reorder",G28)))</formula>
    </cfRule>
  </conditionalFormatting>
  <conditionalFormatting sqref="G28">
    <cfRule type="containsText" dxfId="414" priority="3" operator="containsText" text="Reorder">
      <formula>NOT(ISERROR(SEARCH("Reorder",G28)))</formula>
    </cfRule>
  </conditionalFormatting>
  <conditionalFormatting sqref="G29:G36">
    <cfRule type="containsText" dxfId="413" priority="1" operator="containsText" text="Reorder">
      <formula>NOT(ISERROR(SEARCH("Reorder",G29)))</formula>
    </cfRule>
  </conditionalFormatting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21"/>
  <sheetViews>
    <sheetView topLeftCell="A7" workbookViewId="0">
      <selection activeCell="C25" sqref="C25"/>
    </sheetView>
  </sheetViews>
  <sheetFormatPr defaultRowHeight="15" x14ac:dyDescent="0.25"/>
  <cols>
    <col min="1" max="1" width="30.28515625" style="2" customWidth="1"/>
    <col min="2" max="3" width="18.85546875" style="2" customWidth="1"/>
    <col min="4" max="4" width="18.5703125" style="2" customWidth="1"/>
    <col min="5" max="5" width="17.5703125" style="2" customWidth="1"/>
    <col min="6" max="6" width="16.28515625" style="2" bestFit="1" customWidth="1"/>
    <col min="7" max="7" width="17.140625" style="2" customWidth="1"/>
    <col min="8" max="8" width="11.42578125" style="2" bestFit="1" customWidth="1"/>
    <col min="9" max="16384" width="9.140625" style="2"/>
  </cols>
  <sheetData>
    <row r="1" spans="1:8" ht="44.25" customHeight="1" x14ac:dyDescent="0.25">
      <c r="A1" s="71" t="s">
        <v>320</v>
      </c>
      <c r="B1" s="72"/>
      <c r="C1" s="72"/>
      <c r="D1" s="72"/>
      <c r="E1" s="72"/>
      <c r="F1" s="72"/>
    </row>
    <row r="2" spans="1:8" s="7" customFormat="1" ht="61.5" customHeight="1" x14ac:dyDescent="0.25">
      <c r="A2" s="4" t="s">
        <v>321</v>
      </c>
      <c r="B2" s="5" t="s">
        <v>60</v>
      </c>
      <c r="C2" s="5" t="s">
        <v>322</v>
      </c>
      <c r="D2" s="5" t="s">
        <v>62</v>
      </c>
      <c r="E2" s="5" t="s">
        <v>680</v>
      </c>
      <c r="F2" s="5" t="s">
        <v>681</v>
      </c>
      <c r="G2" s="5" t="s">
        <v>641</v>
      </c>
      <c r="H2" s="5" t="s">
        <v>638</v>
      </c>
    </row>
    <row r="3" spans="1:8" ht="15" customHeight="1" x14ac:dyDescent="0.25">
      <c r="A3" s="7" t="s">
        <v>323</v>
      </c>
      <c r="B3" s="2" t="s">
        <v>628</v>
      </c>
      <c r="C3" s="2">
        <v>7600</v>
      </c>
      <c r="D3" s="2">
        <v>450</v>
      </c>
      <c r="E3" s="2">
        <v>100</v>
      </c>
      <c r="F3" s="2">
        <v>59</v>
      </c>
      <c r="G3" s="2">
        <f>E3-F3</f>
        <v>41</v>
      </c>
      <c r="H3" s="2" t="str">
        <f>IF(G3&lt;=2,"Reorder","Available")</f>
        <v>Available</v>
      </c>
    </row>
    <row r="4" spans="1:8" ht="15" customHeight="1" x14ac:dyDescent="0.25">
      <c r="A4" s="7" t="s">
        <v>324</v>
      </c>
      <c r="B4" s="2">
        <v>620</v>
      </c>
      <c r="D4" s="2">
        <v>650</v>
      </c>
      <c r="E4" s="2">
        <v>20</v>
      </c>
      <c r="F4" s="2">
        <v>5</v>
      </c>
      <c r="G4" s="2">
        <v>17</v>
      </c>
      <c r="H4" s="2" t="str">
        <f t="shared" ref="H4:H10" si="0">IF(G4&lt;=2,"Reorder","Available")</f>
        <v>Available</v>
      </c>
    </row>
    <row r="5" spans="1:8" ht="15" customHeight="1" x14ac:dyDescent="0.25">
      <c r="A5" s="7"/>
    </row>
    <row r="6" spans="1:8" ht="15" customHeight="1" x14ac:dyDescent="0.25">
      <c r="A6" s="7" t="s">
        <v>325</v>
      </c>
      <c r="B6" s="2">
        <v>900</v>
      </c>
      <c r="G6" s="2">
        <f t="shared" ref="G6:G10" si="1">E6-F6</f>
        <v>0</v>
      </c>
      <c r="H6" s="2" t="str">
        <f t="shared" si="0"/>
        <v>Reorder</v>
      </c>
    </row>
    <row r="7" spans="1:8" ht="15" customHeight="1" x14ac:dyDescent="0.25">
      <c r="A7" s="7" t="s">
        <v>326</v>
      </c>
      <c r="B7" s="2">
        <v>750</v>
      </c>
      <c r="G7" s="2">
        <f t="shared" si="1"/>
        <v>0</v>
      </c>
      <c r="H7" s="2" t="str">
        <f t="shared" si="0"/>
        <v>Reorder</v>
      </c>
    </row>
    <row r="8" spans="1:8" ht="15" customHeight="1" x14ac:dyDescent="0.25">
      <c r="A8" s="7"/>
    </row>
    <row r="9" spans="1:8" ht="15" customHeight="1" x14ac:dyDescent="0.25">
      <c r="A9" s="7" t="s">
        <v>621</v>
      </c>
      <c r="B9" s="2">
        <v>700</v>
      </c>
      <c r="D9" s="2">
        <v>750</v>
      </c>
      <c r="G9" s="2">
        <f t="shared" si="1"/>
        <v>0</v>
      </c>
      <c r="H9" s="2" t="str">
        <f t="shared" si="0"/>
        <v>Reorder</v>
      </c>
    </row>
    <row r="10" spans="1:8" ht="15" customHeight="1" x14ac:dyDescent="0.25">
      <c r="A10" s="7" t="s">
        <v>620</v>
      </c>
      <c r="B10" s="2">
        <v>800</v>
      </c>
      <c r="D10" s="2">
        <v>900</v>
      </c>
      <c r="G10" s="2">
        <f t="shared" si="1"/>
        <v>0</v>
      </c>
      <c r="H10" s="2" t="str">
        <f t="shared" si="0"/>
        <v>Reorder</v>
      </c>
    </row>
    <row r="11" spans="1:8" ht="15" customHeight="1" x14ac:dyDescent="0.25">
      <c r="A11" s="7"/>
    </row>
    <row r="12" spans="1:8" ht="15" customHeight="1" x14ac:dyDescent="0.25">
      <c r="A12" s="7" t="s">
        <v>993</v>
      </c>
      <c r="B12" s="2">
        <v>1900</v>
      </c>
      <c r="D12" s="2">
        <v>2000</v>
      </c>
    </row>
    <row r="13" spans="1:8" ht="15" customHeight="1" x14ac:dyDescent="0.25">
      <c r="A13" s="7"/>
    </row>
    <row r="14" spans="1:8" ht="44.25" customHeight="1" x14ac:dyDescent="0.25">
      <c r="A14" s="71" t="s">
        <v>328</v>
      </c>
      <c r="B14" s="72"/>
      <c r="C14" s="72"/>
      <c r="D14" s="72"/>
      <c r="E14" s="72"/>
      <c r="F14" s="72"/>
    </row>
    <row r="15" spans="1:8" s="7" customFormat="1" ht="61.5" customHeight="1" x14ac:dyDescent="0.25">
      <c r="A15" s="4" t="s">
        <v>65</v>
      </c>
      <c r="B15" s="5" t="s">
        <v>60</v>
      </c>
      <c r="C15" s="5" t="s">
        <v>62</v>
      </c>
      <c r="D15" s="5" t="s">
        <v>680</v>
      </c>
      <c r="E15" s="5" t="s">
        <v>681</v>
      </c>
      <c r="F15" s="5" t="s">
        <v>641</v>
      </c>
      <c r="G15" s="5" t="s">
        <v>638</v>
      </c>
    </row>
    <row r="16" spans="1:8" ht="15" customHeight="1" x14ac:dyDescent="0.25">
      <c r="A16" s="7" t="s">
        <v>907</v>
      </c>
      <c r="B16" s="2">
        <v>55</v>
      </c>
      <c r="C16" s="2">
        <v>80</v>
      </c>
      <c r="D16" s="2">
        <v>25</v>
      </c>
      <c r="E16" s="2">
        <v>14</v>
      </c>
      <c r="F16" s="2">
        <f>D16-E16</f>
        <v>11</v>
      </c>
      <c r="G16" s="2" t="str">
        <f>IF(F16&lt;=3,"Reorder","Available")</f>
        <v>Available</v>
      </c>
    </row>
    <row r="17" spans="1:7" ht="15" customHeight="1" x14ac:dyDescent="0.25">
      <c r="A17" s="7" t="s">
        <v>6</v>
      </c>
      <c r="B17" s="2">
        <v>75</v>
      </c>
      <c r="C17" s="2">
        <v>100</v>
      </c>
      <c r="D17" s="2">
        <v>10</v>
      </c>
      <c r="E17" s="2">
        <v>5</v>
      </c>
      <c r="F17" s="2">
        <f t="shared" ref="F17:F21" si="2">D17-E17</f>
        <v>5</v>
      </c>
      <c r="G17" s="2" t="str">
        <f t="shared" ref="G17:G21" si="3">IF(F17&lt;=3,"Reorder","Available")</f>
        <v>Available</v>
      </c>
    </row>
    <row r="18" spans="1:7" ht="15" customHeight="1" x14ac:dyDescent="0.25">
      <c r="A18" s="7" t="s">
        <v>185</v>
      </c>
      <c r="B18" s="2">
        <v>70</v>
      </c>
      <c r="C18" s="2">
        <v>100</v>
      </c>
      <c r="D18" s="2">
        <v>8</v>
      </c>
      <c r="E18" s="2">
        <v>4</v>
      </c>
      <c r="F18" s="2">
        <f t="shared" si="2"/>
        <v>4</v>
      </c>
      <c r="G18" s="2" t="str">
        <f t="shared" si="3"/>
        <v>Available</v>
      </c>
    </row>
    <row r="19" spans="1:7" ht="15" customHeight="1" x14ac:dyDescent="0.25">
      <c r="A19" s="7" t="s">
        <v>996</v>
      </c>
      <c r="B19" s="2">
        <v>130</v>
      </c>
      <c r="C19" s="2">
        <v>180</v>
      </c>
      <c r="D19" s="2">
        <v>5</v>
      </c>
      <c r="E19" s="2">
        <v>4</v>
      </c>
      <c r="F19" s="2">
        <f t="shared" si="2"/>
        <v>1</v>
      </c>
      <c r="G19" s="2" t="str">
        <f t="shared" si="3"/>
        <v>Reorder</v>
      </c>
    </row>
    <row r="20" spans="1:7" ht="15.75" customHeight="1" x14ac:dyDescent="0.25">
      <c r="A20" s="2" t="s">
        <v>941</v>
      </c>
      <c r="B20" s="2">
        <v>70</v>
      </c>
      <c r="C20" s="7">
        <v>100</v>
      </c>
      <c r="D20" s="2">
        <v>30</v>
      </c>
      <c r="E20" s="2">
        <v>30</v>
      </c>
      <c r="F20" s="2">
        <f t="shared" si="2"/>
        <v>0</v>
      </c>
      <c r="G20" s="2" t="str">
        <f t="shared" si="3"/>
        <v>Reorder</v>
      </c>
    </row>
    <row r="21" spans="1:7" ht="15" customHeight="1" x14ac:dyDescent="0.25">
      <c r="A21" s="7" t="s">
        <v>327</v>
      </c>
      <c r="B21" s="7">
        <v>50</v>
      </c>
      <c r="C21" s="7">
        <v>100</v>
      </c>
      <c r="D21" s="7">
        <v>20</v>
      </c>
      <c r="E21" s="2">
        <v>10</v>
      </c>
      <c r="F21" s="2">
        <f t="shared" si="2"/>
        <v>10</v>
      </c>
      <c r="G21" s="2" t="str">
        <f t="shared" si="3"/>
        <v>Available</v>
      </c>
    </row>
  </sheetData>
  <mergeCells count="2">
    <mergeCell ref="A1:F1"/>
    <mergeCell ref="A14:F14"/>
  </mergeCells>
  <conditionalFormatting sqref="A1:F1 A2:D13 D16:D19 A16:B21 B22:B28 D21:D29 C15:C27">
    <cfRule type="expression" dxfId="412" priority="23">
      <formula>ROW()=CELL(ROW)</formula>
    </cfRule>
  </conditionalFormatting>
  <conditionalFormatting sqref="A15:C15 A14:F14">
    <cfRule type="expression" dxfId="411" priority="21">
      <formula>ROW()=CELL(ROW)</formula>
    </cfRule>
  </conditionalFormatting>
  <conditionalFormatting sqref="E2">
    <cfRule type="expression" dxfId="410" priority="20">
      <formula>ROW()=CELL(ROW)</formula>
    </cfRule>
  </conditionalFormatting>
  <conditionalFormatting sqref="H2">
    <cfRule type="containsText" dxfId="409" priority="19" operator="containsText" text="Reorder ">
      <formula>NOT(ISERROR(SEARCH("Reorder ",H2)))</formula>
    </cfRule>
  </conditionalFormatting>
  <conditionalFormatting sqref="H1:H1048576">
    <cfRule type="containsText" dxfId="408" priority="18" operator="containsText" text="Reorder">
      <formula>NOT(ISERROR(SEARCH("Reorder",H1)))</formula>
    </cfRule>
  </conditionalFormatting>
  <conditionalFormatting sqref="H2">
    <cfRule type="containsText" dxfId="407" priority="17" operator="containsText" text="Reorder">
      <formula>NOT(ISERROR(SEARCH("Reorder",H2)))</formula>
    </cfRule>
  </conditionalFormatting>
  <conditionalFormatting sqref="H2">
    <cfRule type="containsText" dxfId="406" priority="16" operator="containsText" text="Reorder">
      <formula>NOT(ISERROR(SEARCH("Reorder",H2)))</formula>
    </cfRule>
  </conditionalFormatting>
  <conditionalFormatting sqref="H2">
    <cfRule type="containsText" dxfId="405" priority="15" operator="containsText" text="Reorder">
      <formula>NOT(ISERROR(SEARCH("Reorder",H2)))</formula>
    </cfRule>
  </conditionalFormatting>
  <conditionalFormatting sqref="H2">
    <cfRule type="containsText" dxfId="404" priority="14" operator="containsText" text="Reorder">
      <formula>NOT(ISERROR(SEARCH("Reorder",H2)))</formula>
    </cfRule>
  </conditionalFormatting>
  <conditionalFormatting sqref="H2">
    <cfRule type="containsText" dxfId="403" priority="13" operator="containsText" text="Reorder">
      <formula>NOT(ISERROR(SEARCH("Reorder",H2)))</formula>
    </cfRule>
  </conditionalFormatting>
  <conditionalFormatting sqref="H2">
    <cfRule type="containsText" dxfId="402" priority="12" operator="containsText" text="Reorder">
      <formula>NOT(ISERROR(SEARCH("Reorder",H2)))</formula>
    </cfRule>
  </conditionalFormatting>
  <conditionalFormatting sqref="D15">
    <cfRule type="expression" dxfId="401" priority="11">
      <formula>ROW()=CELL(ROW)</formula>
    </cfRule>
  </conditionalFormatting>
  <conditionalFormatting sqref="G15">
    <cfRule type="containsText" dxfId="400" priority="10" operator="containsText" text="Reorder ">
      <formula>NOT(ISERROR(SEARCH("Reorder ",G15)))</formula>
    </cfRule>
  </conditionalFormatting>
  <conditionalFormatting sqref="G15">
    <cfRule type="containsText" dxfId="399" priority="9" operator="containsText" text="Reorder">
      <formula>NOT(ISERROR(SEARCH("Reorder",G15)))</formula>
    </cfRule>
  </conditionalFormatting>
  <conditionalFormatting sqref="G15">
    <cfRule type="containsText" dxfId="398" priority="8" operator="containsText" text="Reorder">
      <formula>NOT(ISERROR(SEARCH("Reorder",G15)))</formula>
    </cfRule>
  </conditionalFormatting>
  <conditionalFormatting sqref="G15">
    <cfRule type="containsText" dxfId="397" priority="7" operator="containsText" text="Reorder">
      <formula>NOT(ISERROR(SEARCH("Reorder",G15)))</formula>
    </cfRule>
  </conditionalFormatting>
  <conditionalFormatting sqref="G15">
    <cfRule type="containsText" dxfId="396" priority="6" operator="containsText" text="Reorder">
      <formula>NOT(ISERROR(SEARCH("Reorder",G15)))</formula>
    </cfRule>
  </conditionalFormatting>
  <conditionalFormatting sqref="G15">
    <cfRule type="containsText" dxfId="395" priority="5" operator="containsText" text="Reorder">
      <formula>NOT(ISERROR(SEARCH("Reorder",G15)))</formula>
    </cfRule>
  </conditionalFormatting>
  <conditionalFormatting sqref="G15">
    <cfRule type="containsText" dxfId="394" priority="4" operator="containsText" text="Reorder">
      <formula>NOT(ISERROR(SEARCH("Reorder",G15)))</formula>
    </cfRule>
  </conditionalFormatting>
  <conditionalFormatting sqref="G15">
    <cfRule type="containsText" dxfId="393" priority="3" operator="containsText" text="Reorder">
      <formula>NOT(ISERROR(SEARCH("Reorder",G15)))</formula>
    </cfRule>
  </conditionalFormatting>
  <conditionalFormatting sqref="G16:G21">
    <cfRule type="containsText" dxfId="392" priority="1" operator="containsText" text="Reorder">
      <formula>NOT(ISERROR(SEARCH("Reorder",G16)))</formula>
    </cfRule>
  </conditionalFormatting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7"/>
  <sheetViews>
    <sheetView workbookViewId="0">
      <selection activeCell="E17" sqref="E17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7.5703125" style="2" customWidth="1"/>
    <col min="5" max="5" width="16.28515625" style="2" bestFit="1" customWidth="1"/>
    <col min="6" max="6" width="16.7109375" style="2" customWidth="1"/>
    <col min="7" max="7" width="13.140625" style="2" customWidth="1"/>
    <col min="8" max="16384" width="9.140625" style="2"/>
  </cols>
  <sheetData>
    <row r="1" spans="1:7" ht="44.25" customHeight="1" x14ac:dyDescent="0.25">
      <c r="A1" s="71" t="s">
        <v>329</v>
      </c>
      <c r="B1" s="72"/>
      <c r="C1" s="72"/>
      <c r="D1" s="72"/>
      <c r="E1" s="72"/>
    </row>
    <row r="2" spans="1:7" s="7" customFormat="1" ht="61.5" customHeight="1" x14ac:dyDescent="0.25">
      <c r="A2" s="4" t="s">
        <v>321</v>
      </c>
      <c r="B2" s="5" t="s">
        <v>60</v>
      </c>
      <c r="C2" s="5" t="s">
        <v>62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7" t="s">
        <v>749</v>
      </c>
      <c r="B3" s="2">
        <v>600</v>
      </c>
      <c r="C3" s="2">
        <v>700</v>
      </c>
      <c r="D3" s="2">
        <v>4</v>
      </c>
      <c r="E3" s="2">
        <v>0</v>
      </c>
      <c r="F3" s="2">
        <f>D3-E3</f>
        <v>4</v>
      </c>
      <c r="G3" s="2" t="str">
        <f>IF(F3&lt;=1,"Reorder","Available")</f>
        <v>Available</v>
      </c>
    </row>
    <row r="4" spans="1:7" ht="15" customHeight="1" x14ac:dyDescent="0.25">
      <c r="A4" s="7" t="s">
        <v>330</v>
      </c>
      <c r="B4" s="2">
        <v>600</v>
      </c>
      <c r="C4" s="2">
        <v>700</v>
      </c>
      <c r="D4" s="2">
        <v>3</v>
      </c>
      <c r="E4" s="2">
        <v>3</v>
      </c>
      <c r="F4" s="2">
        <f t="shared" ref="F4:F8" si="0">D4-E4</f>
        <v>0</v>
      </c>
      <c r="G4" s="2" t="str">
        <f t="shared" ref="G4:G8" si="1">IF(F4&lt;=1,"Reorder","Available")</f>
        <v>Reorder</v>
      </c>
    </row>
    <row r="5" spans="1:7" ht="15" customHeight="1" x14ac:dyDescent="0.25">
      <c r="A5" s="7" t="s">
        <v>179</v>
      </c>
      <c r="B5" s="2">
        <v>550</v>
      </c>
      <c r="C5" s="2">
        <v>605</v>
      </c>
      <c r="D5" s="2">
        <v>1</v>
      </c>
      <c r="E5" s="2">
        <v>0</v>
      </c>
      <c r="F5" s="2">
        <f t="shared" si="0"/>
        <v>1</v>
      </c>
      <c r="G5" s="2" t="str">
        <f t="shared" si="1"/>
        <v>Reorder</v>
      </c>
    </row>
    <row r="6" spans="1:7" ht="15" customHeight="1" x14ac:dyDescent="0.25">
      <c r="A6" s="7" t="s">
        <v>25</v>
      </c>
      <c r="B6" s="2">
        <v>1995</v>
      </c>
      <c r="C6" s="2">
        <v>605</v>
      </c>
      <c r="D6" s="2">
        <v>0</v>
      </c>
      <c r="E6" s="2">
        <v>0</v>
      </c>
      <c r="F6" s="2">
        <f t="shared" si="0"/>
        <v>0</v>
      </c>
      <c r="G6" s="2" t="str">
        <f t="shared" si="1"/>
        <v>Reorder</v>
      </c>
    </row>
    <row r="7" spans="1:7" ht="15" customHeight="1" x14ac:dyDescent="0.25">
      <c r="A7" s="7" t="s">
        <v>331</v>
      </c>
      <c r="B7" s="2">
        <v>550</v>
      </c>
      <c r="C7" s="2">
        <v>605</v>
      </c>
      <c r="D7" s="2">
        <v>1</v>
      </c>
      <c r="E7" s="2">
        <v>1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7" t="s">
        <v>332</v>
      </c>
      <c r="B8" s="2">
        <v>550</v>
      </c>
      <c r="C8" s="2">
        <v>605</v>
      </c>
      <c r="D8" s="2">
        <v>1</v>
      </c>
      <c r="E8" s="2">
        <v>1</v>
      </c>
      <c r="F8" s="2">
        <f t="shared" si="0"/>
        <v>0</v>
      </c>
      <c r="G8" s="2" t="str">
        <f t="shared" si="1"/>
        <v>Reorder</v>
      </c>
    </row>
    <row r="9" spans="1:7" ht="16.5" customHeight="1" x14ac:dyDescent="0.25">
      <c r="A9" s="7"/>
    </row>
    <row r="10" spans="1:7" ht="15" customHeight="1" x14ac:dyDescent="0.25">
      <c r="A10" s="71"/>
      <c r="B10" s="72"/>
      <c r="C10" s="72"/>
      <c r="D10" s="72"/>
      <c r="E10" s="72"/>
    </row>
    <row r="11" spans="1:7" s="7" customFormat="1" ht="41.25" customHeight="1" x14ac:dyDescent="0.25">
      <c r="A11" s="13" t="s">
        <v>622</v>
      </c>
      <c r="B11" s="13">
        <v>150</v>
      </c>
      <c r="C11" s="13">
        <v>200</v>
      </c>
      <c r="D11" s="2">
        <v>5</v>
      </c>
      <c r="E11" s="7">
        <v>2</v>
      </c>
      <c r="F11" s="7">
        <f>D11-E11</f>
        <v>3</v>
      </c>
      <c r="G11" s="2" t="str">
        <f>IF(F11&lt;=1,"Reorder","Available")</f>
        <v>Available</v>
      </c>
    </row>
    <row r="12" spans="1:7" ht="15" customHeight="1" x14ac:dyDescent="0.25">
      <c r="A12" s="7"/>
    </row>
    <row r="13" spans="1:7" ht="15" customHeight="1" x14ac:dyDescent="0.25">
      <c r="A13" s="7"/>
    </row>
    <row r="14" spans="1:7" ht="15" customHeight="1" x14ac:dyDescent="0.25">
      <c r="A14" s="7"/>
    </row>
    <row r="15" spans="1:7" ht="15.75" customHeight="1" x14ac:dyDescent="0.25"/>
    <row r="16" spans="1:7" ht="15" customHeight="1" x14ac:dyDescent="0.25">
      <c r="A16" s="7"/>
      <c r="B16" s="7"/>
      <c r="C16" s="7"/>
      <c r="D16" s="7"/>
      <c r="E16" s="7"/>
    </row>
    <row r="17" spans="4:4" s="7" customFormat="1" ht="15" customHeight="1" x14ac:dyDescent="0.25">
      <c r="D17" s="2"/>
    </row>
  </sheetData>
  <mergeCells count="2">
    <mergeCell ref="A1:E1"/>
    <mergeCell ref="A10:E10"/>
  </mergeCells>
  <conditionalFormatting sqref="C18:C26 B18:B25 C12:C14 C16:E16 A12:B17 C17:D17 A1:E1 A11:D11 A10:E10 A2:C9">
    <cfRule type="expression" dxfId="391" priority="16">
      <formula>ROW()=CELL(ROW)</formula>
    </cfRule>
  </conditionalFormatting>
  <conditionalFormatting sqref="D2">
    <cfRule type="expression" dxfId="390" priority="14">
      <formula>ROW()=CELL(ROW)</formula>
    </cfRule>
  </conditionalFormatting>
  <conditionalFormatting sqref="G2">
    <cfRule type="containsText" dxfId="389" priority="13" operator="containsText" text="Reorder ">
      <formula>NOT(ISERROR(SEARCH("Reorder ",G2)))</formula>
    </cfRule>
  </conditionalFormatting>
  <conditionalFormatting sqref="G2">
    <cfRule type="containsText" dxfId="388" priority="12" operator="containsText" text="Reorder">
      <formula>NOT(ISERROR(SEARCH("Reorder",G2)))</formula>
    </cfRule>
  </conditionalFormatting>
  <conditionalFormatting sqref="G2">
    <cfRule type="containsText" dxfId="387" priority="11" operator="containsText" text="Reorder">
      <formula>NOT(ISERROR(SEARCH("Reorder",G2)))</formula>
    </cfRule>
  </conditionalFormatting>
  <conditionalFormatting sqref="G2">
    <cfRule type="containsText" dxfId="386" priority="10" operator="containsText" text="Reorder">
      <formula>NOT(ISERROR(SEARCH("Reorder",G2)))</formula>
    </cfRule>
  </conditionalFormatting>
  <conditionalFormatting sqref="G2">
    <cfRule type="containsText" dxfId="385" priority="9" operator="containsText" text="Reorder">
      <formula>NOT(ISERROR(SEARCH("Reorder",G2)))</formula>
    </cfRule>
  </conditionalFormatting>
  <conditionalFormatting sqref="G2">
    <cfRule type="containsText" dxfId="384" priority="8" operator="containsText" text="Reorder">
      <formula>NOT(ISERROR(SEARCH("Reorder",G2)))</formula>
    </cfRule>
  </conditionalFormatting>
  <conditionalFormatting sqref="G2">
    <cfRule type="containsText" dxfId="383" priority="7" operator="containsText" text="Reorder">
      <formula>NOT(ISERROR(SEARCH("Reorder",G2)))</formula>
    </cfRule>
  </conditionalFormatting>
  <conditionalFormatting sqref="G2">
    <cfRule type="containsText" dxfId="382" priority="6" operator="containsText" text="Reorder">
      <formula>NOT(ISERROR(SEARCH("Reorder",G2)))</formula>
    </cfRule>
  </conditionalFormatting>
  <conditionalFormatting sqref="G3:G11">
    <cfRule type="containsText" dxfId="381" priority="3" operator="containsText" text="Reorder ">
      <formula>NOT(ISERROR(SEARCH("Reorder ",G3)))</formula>
    </cfRule>
    <cfRule type="containsText" dxfId="380" priority="5" operator="containsText" text="Reorder ">
      <formula>NOT(ISERROR(SEARCH("Reorder ",G3)))</formula>
    </cfRule>
  </conditionalFormatting>
  <conditionalFormatting sqref="G1:G1048576">
    <cfRule type="containsText" dxfId="379" priority="4" operator="containsText" text="Reorder ">
      <formula>NOT(ISERROR(SEARCH("Reorder ",G1)))</formula>
    </cfRule>
  </conditionalFormatting>
  <conditionalFormatting sqref="G2:G10">
    <cfRule type="containsText" dxfId="378" priority="2" operator="containsText" text="Reorder">
      <formula>NOT(ISERROR(SEARCH("Reorder",G2)))</formula>
    </cfRule>
  </conditionalFormatting>
  <conditionalFormatting sqref="G11">
    <cfRule type="containsText" dxfId="377" priority="1" operator="containsText" text="Reorder">
      <formula>NOT(ISERROR(SEARCH("Reorder",G11)))</formula>
    </cfRule>
  </conditionalFormatting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35"/>
  <sheetViews>
    <sheetView workbookViewId="0">
      <selection activeCell="D22" sqref="D22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7.7109375" style="2" customWidth="1"/>
    <col min="7" max="7" width="11.42578125" style="2" customWidth="1"/>
    <col min="8" max="16384" width="9.140625" style="2"/>
  </cols>
  <sheetData>
    <row r="1" spans="1:7" ht="44.25" customHeight="1" x14ac:dyDescent="0.25">
      <c r="A1" s="102" t="s">
        <v>333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19</v>
      </c>
      <c r="C2" s="5" t="s">
        <v>20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833</v>
      </c>
      <c r="B3" s="2">
        <v>105</v>
      </c>
      <c r="C3" s="2">
        <v>150</v>
      </c>
      <c r="D3" s="2">
        <v>15</v>
      </c>
      <c r="E3" s="2">
        <v>1</v>
      </c>
      <c r="F3" s="2">
        <f>D3-E3</f>
        <v>14</v>
      </c>
      <c r="G3" s="2" t="str">
        <f>IF(F3&lt;=3,"Reorder","Available")</f>
        <v>Available</v>
      </c>
    </row>
    <row r="4" spans="1:7" ht="15" customHeight="1" x14ac:dyDescent="0.25">
      <c r="A4" s="2" t="s">
        <v>1071</v>
      </c>
      <c r="B4" s="2">
        <v>100</v>
      </c>
      <c r="C4" s="2">
        <v>150</v>
      </c>
      <c r="D4" s="2">
        <v>10</v>
      </c>
      <c r="E4" s="2">
        <v>0</v>
      </c>
      <c r="F4" s="2">
        <f t="shared" ref="F4:F5" si="0">D4-E4</f>
        <v>10</v>
      </c>
      <c r="G4" s="2" t="str">
        <f t="shared" ref="G4:G5" si="1">IF(F4&lt;=3,"Reorder","Available")</f>
        <v>Available</v>
      </c>
    </row>
    <row r="5" spans="1:7" ht="15" customHeight="1" x14ac:dyDescent="0.25">
      <c r="A5" s="2" t="s">
        <v>831</v>
      </c>
      <c r="B5" s="2">
        <v>90</v>
      </c>
      <c r="C5" s="2">
        <v>150</v>
      </c>
      <c r="D5" s="2">
        <v>20</v>
      </c>
      <c r="E5" s="2">
        <v>10</v>
      </c>
      <c r="F5" s="2">
        <f t="shared" si="0"/>
        <v>10</v>
      </c>
      <c r="G5" s="2" t="str">
        <f t="shared" si="1"/>
        <v>Available</v>
      </c>
    </row>
    <row r="6" spans="1:7" ht="15" customHeight="1" x14ac:dyDescent="0.25">
      <c r="A6" s="2" t="s">
        <v>334</v>
      </c>
      <c r="B6" s="2">
        <v>90</v>
      </c>
      <c r="C6" s="2">
        <v>110</v>
      </c>
      <c r="D6" s="2">
        <v>20</v>
      </c>
      <c r="E6" s="2">
        <v>2</v>
      </c>
      <c r="F6" s="2">
        <f t="shared" ref="F6:F18" si="2">D6-E6</f>
        <v>18</v>
      </c>
      <c r="G6" s="2" t="str">
        <f t="shared" ref="G6:G18" si="3">IF(F6&lt;=3,"Reorder","Available")</f>
        <v>Available</v>
      </c>
    </row>
    <row r="7" spans="1:7" ht="15" customHeight="1" x14ac:dyDescent="0.25">
      <c r="A7" s="2" t="s">
        <v>940</v>
      </c>
      <c r="B7" s="2">
        <v>85</v>
      </c>
      <c r="C7" s="2">
        <v>105</v>
      </c>
      <c r="D7" s="2">
        <v>20</v>
      </c>
      <c r="E7" s="2">
        <v>5</v>
      </c>
      <c r="F7" s="2">
        <f t="shared" si="2"/>
        <v>15</v>
      </c>
      <c r="G7" s="2" t="str">
        <f t="shared" si="3"/>
        <v>Available</v>
      </c>
    </row>
    <row r="8" spans="1:7" ht="15" customHeight="1" x14ac:dyDescent="0.25">
      <c r="A8" s="2" t="s">
        <v>335</v>
      </c>
      <c r="B8" s="2">
        <v>90</v>
      </c>
      <c r="C8" s="2">
        <v>120</v>
      </c>
      <c r="D8" s="2">
        <v>12</v>
      </c>
      <c r="E8" s="2">
        <v>2</v>
      </c>
      <c r="F8" s="2">
        <f t="shared" si="2"/>
        <v>10</v>
      </c>
      <c r="G8" s="2" t="str">
        <f t="shared" si="3"/>
        <v>Available</v>
      </c>
    </row>
    <row r="9" spans="1:7" ht="15" hidden="1" customHeight="1" x14ac:dyDescent="0.25">
      <c r="D9" s="2">
        <v>10</v>
      </c>
      <c r="F9" s="2">
        <f t="shared" si="2"/>
        <v>10</v>
      </c>
      <c r="G9" s="2" t="str">
        <f t="shared" si="3"/>
        <v>Available</v>
      </c>
    </row>
    <row r="10" spans="1:7" ht="15" hidden="1" customHeight="1" x14ac:dyDescent="0.25">
      <c r="D10" s="2">
        <v>10</v>
      </c>
      <c r="F10" s="2">
        <f t="shared" si="2"/>
        <v>10</v>
      </c>
      <c r="G10" s="2" t="str">
        <f t="shared" si="3"/>
        <v>Available</v>
      </c>
    </row>
    <row r="11" spans="1:7" ht="15" hidden="1" customHeight="1" x14ac:dyDescent="0.25">
      <c r="D11" s="2">
        <v>10</v>
      </c>
      <c r="F11" s="2">
        <f t="shared" si="2"/>
        <v>10</v>
      </c>
      <c r="G11" s="2" t="str">
        <f t="shared" si="3"/>
        <v>Available</v>
      </c>
    </row>
    <row r="12" spans="1:7" x14ac:dyDescent="0.25">
      <c r="A12" s="2" t="s">
        <v>1074</v>
      </c>
      <c r="B12" s="2">
        <v>120</v>
      </c>
      <c r="C12" s="2">
        <v>180</v>
      </c>
      <c r="D12" s="2">
        <v>10</v>
      </c>
      <c r="E12" s="2">
        <v>0</v>
      </c>
      <c r="F12" s="2">
        <f t="shared" si="2"/>
        <v>10</v>
      </c>
      <c r="G12" s="2" t="str">
        <f t="shared" si="3"/>
        <v>Available</v>
      </c>
    </row>
    <row r="13" spans="1:7" ht="15" customHeight="1" x14ac:dyDescent="0.25">
      <c r="A13" s="2" t="s">
        <v>832</v>
      </c>
      <c r="B13" s="2">
        <v>105</v>
      </c>
      <c r="C13" s="2">
        <v>150</v>
      </c>
      <c r="D13" s="2">
        <v>15</v>
      </c>
      <c r="E13" s="2">
        <v>15</v>
      </c>
      <c r="F13" s="2">
        <f t="shared" si="2"/>
        <v>0</v>
      </c>
      <c r="G13" s="2" t="str">
        <f t="shared" si="3"/>
        <v>Reorder</v>
      </c>
    </row>
    <row r="14" spans="1:7" ht="15" customHeight="1" x14ac:dyDescent="0.25">
      <c r="A14" s="2" t="s">
        <v>1073</v>
      </c>
      <c r="B14" s="2">
        <v>120</v>
      </c>
      <c r="C14" s="2">
        <v>180</v>
      </c>
      <c r="D14" s="2">
        <v>10</v>
      </c>
      <c r="E14" s="2">
        <v>9</v>
      </c>
      <c r="F14" s="2">
        <f t="shared" si="2"/>
        <v>1</v>
      </c>
      <c r="G14" s="2" t="str">
        <f t="shared" si="3"/>
        <v>Reorder</v>
      </c>
    </row>
    <row r="15" spans="1:7" ht="15" customHeight="1" x14ac:dyDescent="0.25">
      <c r="A15" s="2" t="s">
        <v>48</v>
      </c>
      <c r="B15" s="2">
        <v>150</v>
      </c>
      <c r="C15" s="2">
        <v>200</v>
      </c>
      <c r="D15" s="2">
        <v>10</v>
      </c>
      <c r="E15" s="2">
        <v>5</v>
      </c>
      <c r="F15" s="2">
        <f t="shared" si="2"/>
        <v>5</v>
      </c>
      <c r="G15" s="2" t="str">
        <f t="shared" si="3"/>
        <v>Available</v>
      </c>
    </row>
    <row r="16" spans="1:7" ht="15" customHeight="1" x14ac:dyDescent="0.25">
      <c r="A16" s="2" t="s">
        <v>49</v>
      </c>
      <c r="B16" s="2">
        <v>150</v>
      </c>
      <c r="C16" s="2">
        <v>200</v>
      </c>
      <c r="D16" s="2">
        <v>3</v>
      </c>
      <c r="E16" s="2">
        <v>1</v>
      </c>
      <c r="F16" s="2">
        <f t="shared" si="2"/>
        <v>2</v>
      </c>
      <c r="G16" s="2" t="str">
        <f t="shared" si="3"/>
        <v>Reorder</v>
      </c>
    </row>
    <row r="17" spans="1:7" ht="15" customHeight="1" x14ac:dyDescent="0.25">
      <c r="A17" s="2" t="s">
        <v>994</v>
      </c>
      <c r="B17" s="2">
        <v>90</v>
      </c>
      <c r="C17" s="2">
        <v>120</v>
      </c>
      <c r="D17" s="2">
        <v>6</v>
      </c>
      <c r="E17" s="2">
        <v>0</v>
      </c>
      <c r="F17" s="2">
        <f t="shared" si="2"/>
        <v>6</v>
      </c>
      <c r="G17" s="2" t="str">
        <f t="shared" si="3"/>
        <v>Available</v>
      </c>
    </row>
    <row r="18" spans="1:7" ht="15" customHeight="1" x14ac:dyDescent="0.25">
      <c r="A18" s="2" t="s">
        <v>1072</v>
      </c>
      <c r="B18" s="2">
        <v>120</v>
      </c>
      <c r="C18" s="2">
        <v>180</v>
      </c>
      <c r="D18" s="2">
        <v>10</v>
      </c>
      <c r="E18" s="2">
        <v>0</v>
      </c>
      <c r="F18" s="2">
        <f t="shared" si="2"/>
        <v>10</v>
      </c>
      <c r="G18" s="2" t="str">
        <f t="shared" si="3"/>
        <v>Available</v>
      </c>
    </row>
    <row r="19" spans="1:7" ht="15" customHeight="1" x14ac:dyDescent="0.25"/>
    <row r="20" spans="1:7" ht="15" customHeight="1" x14ac:dyDescent="0.25"/>
    <row r="21" spans="1:7" ht="15" customHeight="1" x14ac:dyDescent="0.25"/>
    <row r="22" spans="1:7" ht="15" customHeight="1" x14ac:dyDescent="0.25"/>
    <row r="23" spans="1:7" ht="15" customHeight="1" x14ac:dyDescent="0.25"/>
    <row r="24" spans="1:7" ht="15" customHeight="1" x14ac:dyDescent="0.25"/>
    <row r="25" spans="1:7" ht="15" customHeight="1" x14ac:dyDescent="0.25"/>
    <row r="26" spans="1:7" ht="15" customHeight="1" x14ac:dyDescent="0.25"/>
    <row r="27" spans="1:7" ht="15" customHeight="1" x14ac:dyDescent="0.25"/>
    <row r="28" spans="1:7" ht="15" customHeight="1" x14ac:dyDescent="0.25"/>
    <row r="29" spans="1:7" ht="15" customHeight="1" x14ac:dyDescent="0.25"/>
    <row r="30" spans="1:7" ht="15" customHeight="1" x14ac:dyDescent="0.25"/>
    <row r="31" spans="1:7" ht="15" customHeight="1" x14ac:dyDescent="0.25"/>
    <row r="32" spans="1:7" ht="15" customHeight="1" x14ac:dyDescent="0.25"/>
    <row r="33" ht="15" customHeight="1" x14ac:dyDescent="0.25"/>
    <row r="34" ht="15" customHeight="1" x14ac:dyDescent="0.25"/>
    <row r="35" ht="15" customHeight="1" x14ac:dyDescent="0.25"/>
  </sheetData>
  <mergeCells count="1">
    <mergeCell ref="A1:E1"/>
  </mergeCells>
  <conditionalFormatting sqref="A1:E1 A2:C2 A20:E34 B19:E19 A3:E18">
    <cfRule type="expression" dxfId="376" priority="13">
      <formula>ROW()=CELL(ROW)</formula>
    </cfRule>
  </conditionalFormatting>
  <conditionalFormatting sqref="D2">
    <cfRule type="expression" dxfId="375" priority="12">
      <formula>ROW()=CELL(ROW)</formula>
    </cfRule>
  </conditionalFormatting>
  <conditionalFormatting sqref="G2">
    <cfRule type="containsText" dxfId="374" priority="11" operator="containsText" text="Reorder ">
      <formula>NOT(ISERROR(SEARCH("Reorder ",G2)))</formula>
    </cfRule>
  </conditionalFormatting>
  <conditionalFormatting sqref="G1:G1048576">
    <cfRule type="containsText" dxfId="373" priority="10" operator="containsText" text="Reorder">
      <formula>NOT(ISERROR(SEARCH("Reorder",G1)))</formula>
    </cfRule>
  </conditionalFormatting>
  <conditionalFormatting sqref="G2">
    <cfRule type="containsText" dxfId="372" priority="9" operator="containsText" text="Reorder">
      <formula>NOT(ISERROR(SEARCH("Reorder",G2)))</formula>
    </cfRule>
  </conditionalFormatting>
  <conditionalFormatting sqref="G2">
    <cfRule type="containsText" dxfId="371" priority="8" operator="containsText" text="Reorder">
      <formula>NOT(ISERROR(SEARCH("Reorder",G2)))</formula>
    </cfRule>
  </conditionalFormatting>
  <conditionalFormatting sqref="G2">
    <cfRule type="containsText" dxfId="370" priority="7" operator="containsText" text="Reorder">
      <formula>NOT(ISERROR(SEARCH("Reorder",G2)))</formula>
    </cfRule>
  </conditionalFormatting>
  <conditionalFormatting sqref="G2">
    <cfRule type="containsText" dxfId="369" priority="6" operator="containsText" text="Reorder">
      <formula>NOT(ISERROR(SEARCH("Reorder",G2)))</formula>
    </cfRule>
  </conditionalFormatting>
  <conditionalFormatting sqref="G2">
    <cfRule type="containsText" dxfId="368" priority="5" operator="containsText" text="Reorder">
      <formula>NOT(ISERROR(SEARCH("Reorder",G2)))</formula>
    </cfRule>
  </conditionalFormatting>
  <conditionalFormatting sqref="G2">
    <cfRule type="containsText" dxfId="367" priority="4" operator="containsText" text="Reorder">
      <formula>NOT(ISERROR(SEARCH("Reorder",G2)))</formula>
    </cfRule>
  </conditionalFormatting>
  <conditionalFormatting sqref="G2">
    <cfRule type="containsText" dxfId="366" priority="3" operator="containsText" text="Reorder ">
      <formula>NOT(ISERROR(SEARCH("Reorder ",G2)))</formula>
    </cfRule>
  </conditionalFormatting>
  <conditionalFormatting sqref="G2">
    <cfRule type="containsText" dxfId="365" priority="2" operator="containsText" text="Reorder">
      <formula>NOT(ISERROR(SEARCH("Reorder",G2)))</formula>
    </cfRule>
  </conditionalFormatting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46"/>
  <sheetViews>
    <sheetView zoomScale="85" zoomScaleNormal="85" workbookViewId="0">
      <selection activeCell="F11" sqref="F11"/>
    </sheetView>
  </sheetViews>
  <sheetFormatPr defaultRowHeight="15" x14ac:dyDescent="0.25"/>
  <cols>
    <col min="1" max="1" width="34.85546875" style="2" customWidth="1"/>
    <col min="2" max="3" width="18.85546875" style="2" customWidth="1"/>
    <col min="4" max="4" width="18.5703125" style="2" customWidth="1"/>
    <col min="5" max="5" width="17.5703125" style="2" bestFit="1" customWidth="1"/>
    <col min="6" max="6" width="16.28515625" style="2" bestFit="1" customWidth="1"/>
    <col min="7" max="7" width="17.42578125" style="2" customWidth="1"/>
    <col min="8" max="8" width="12.5703125" style="2" customWidth="1"/>
    <col min="9" max="16384" width="9.140625" style="2"/>
  </cols>
  <sheetData>
    <row r="1" spans="1:8" ht="44.25" customHeight="1" x14ac:dyDescent="0.25">
      <c r="A1" s="102" t="s">
        <v>340</v>
      </c>
      <c r="B1" s="72"/>
      <c r="C1" s="72"/>
      <c r="D1" s="72"/>
      <c r="E1" s="72"/>
      <c r="F1" s="72"/>
    </row>
    <row r="2" spans="1:8" s="7" customFormat="1" ht="61.5" customHeight="1" x14ac:dyDescent="0.25">
      <c r="A2" s="4" t="s">
        <v>3</v>
      </c>
      <c r="B2" s="5" t="s">
        <v>60</v>
      </c>
      <c r="C2" s="5" t="s">
        <v>336</v>
      </c>
      <c r="D2" s="5" t="s">
        <v>20</v>
      </c>
      <c r="E2" s="5" t="s">
        <v>680</v>
      </c>
      <c r="F2" s="5" t="s">
        <v>681</v>
      </c>
      <c r="G2" s="5" t="s">
        <v>641</v>
      </c>
      <c r="H2" s="5" t="s">
        <v>638</v>
      </c>
    </row>
    <row r="3" spans="1:8" ht="15" customHeight="1" x14ac:dyDescent="0.25">
      <c r="A3" s="2" t="s">
        <v>339</v>
      </c>
      <c r="B3" s="2">
        <v>50</v>
      </c>
      <c r="C3" s="2">
        <v>530</v>
      </c>
      <c r="D3" s="2">
        <v>85</v>
      </c>
      <c r="E3" s="2">
        <v>110</v>
      </c>
      <c r="F3" s="2">
        <v>25</v>
      </c>
      <c r="G3" s="2">
        <f>E3-F3</f>
        <v>85</v>
      </c>
      <c r="H3" s="2" t="str">
        <f>IF(G3&lt;=5,"Reorder","Available")</f>
        <v>Available</v>
      </c>
    </row>
    <row r="4" spans="1:8" ht="15" customHeight="1" x14ac:dyDescent="0.25">
      <c r="A4" s="2" t="s">
        <v>337</v>
      </c>
      <c r="B4" s="2">
        <v>50</v>
      </c>
      <c r="C4" s="2">
        <v>500</v>
      </c>
      <c r="D4" s="2">
        <v>85</v>
      </c>
      <c r="E4" s="2">
        <v>20</v>
      </c>
      <c r="F4" s="2">
        <v>20</v>
      </c>
      <c r="G4" s="2">
        <f t="shared" ref="G4:G15" si="0">E4-F4</f>
        <v>0</v>
      </c>
      <c r="H4" s="2" t="str">
        <f t="shared" ref="H4:H15" si="1">IF(G4&lt;=5,"Reorder","Available")</f>
        <v>Reorder</v>
      </c>
    </row>
    <row r="5" spans="1:8" ht="15" customHeight="1" x14ac:dyDescent="0.25">
      <c r="A5" s="2" t="s">
        <v>880</v>
      </c>
      <c r="B5" s="2">
        <v>110</v>
      </c>
      <c r="D5" s="2">
        <v>150</v>
      </c>
      <c r="E5" s="2">
        <v>10</v>
      </c>
      <c r="F5" s="2">
        <v>10</v>
      </c>
      <c r="G5" s="2">
        <f t="shared" si="0"/>
        <v>0</v>
      </c>
      <c r="H5" s="2" t="str">
        <f>IF(G5&lt;=5,"Reorder","Available")</f>
        <v>Reorder</v>
      </c>
    </row>
    <row r="6" spans="1:8" ht="15" customHeight="1" x14ac:dyDescent="0.25">
      <c r="A6" s="2" t="s">
        <v>854</v>
      </c>
      <c r="B6" s="2">
        <v>80</v>
      </c>
      <c r="C6" s="2">
        <v>785</v>
      </c>
      <c r="D6" s="2">
        <v>100</v>
      </c>
      <c r="E6" s="2">
        <v>10</v>
      </c>
      <c r="F6" s="2">
        <v>3</v>
      </c>
      <c r="G6" s="2">
        <f t="shared" si="0"/>
        <v>7</v>
      </c>
      <c r="H6" s="2" t="str">
        <f t="shared" si="1"/>
        <v>Available</v>
      </c>
    </row>
    <row r="7" spans="1:8" ht="15" customHeight="1" x14ac:dyDescent="0.25">
      <c r="A7" s="2" t="s">
        <v>834</v>
      </c>
      <c r="B7" s="2">
        <v>110</v>
      </c>
      <c r="D7" s="2">
        <v>150</v>
      </c>
      <c r="E7" s="2">
        <v>23</v>
      </c>
      <c r="F7" s="2">
        <v>18</v>
      </c>
      <c r="G7" s="2">
        <f t="shared" si="0"/>
        <v>5</v>
      </c>
      <c r="H7" s="2" t="str">
        <f t="shared" si="1"/>
        <v>Reorder</v>
      </c>
    </row>
    <row r="8" spans="1:8" ht="15" customHeight="1" x14ac:dyDescent="0.25"/>
    <row r="9" spans="1:8" ht="15" customHeight="1" x14ac:dyDescent="0.25">
      <c r="A9" s="2" t="s">
        <v>591</v>
      </c>
      <c r="B9" s="2">
        <v>80</v>
      </c>
      <c r="C9" s="2">
        <v>770</v>
      </c>
      <c r="D9" s="2">
        <v>100</v>
      </c>
      <c r="E9" s="2">
        <v>0</v>
      </c>
      <c r="F9" s="2">
        <v>0</v>
      </c>
      <c r="G9" s="2">
        <f>E9-F9</f>
        <v>0</v>
      </c>
      <c r="H9" s="2" t="str">
        <f t="shared" si="1"/>
        <v>Reorder</v>
      </c>
    </row>
    <row r="10" spans="1:8" ht="15" customHeight="1" x14ac:dyDescent="0.25">
      <c r="A10" s="2" t="s">
        <v>592</v>
      </c>
      <c r="B10" s="2">
        <v>75</v>
      </c>
      <c r="C10" s="2">
        <v>725</v>
      </c>
      <c r="D10" s="2">
        <v>100</v>
      </c>
      <c r="E10" s="2">
        <v>58</v>
      </c>
      <c r="F10" s="2">
        <v>44</v>
      </c>
      <c r="G10" s="2">
        <f t="shared" ref="G10:G11" si="2">E10-F10</f>
        <v>14</v>
      </c>
      <c r="H10" s="2" t="str">
        <f t="shared" si="1"/>
        <v>Available</v>
      </c>
    </row>
    <row r="11" spans="1:8" ht="15" customHeight="1" x14ac:dyDescent="0.25">
      <c r="A11" s="2" t="s">
        <v>593</v>
      </c>
      <c r="B11" s="2">
        <v>90</v>
      </c>
      <c r="C11" s="2">
        <v>770</v>
      </c>
      <c r="D11" s="2">
        <v>120</v>
      </c>
      <c r="E11" s="2">
        <v>13</v>
      </c>
      <c r="F11" s="2">
        <v>0</v>
      </c>
      <c r="G11" s="2">
        <f t="shared" si="2"/>
        <v>13</v>
      </c>
      <c r="H11" s="2" t="str">
        <f t="shared" si="1"/>
        <v>Available</v>
      </c>
    </row>
    <row r="12" spans="1:8" ht="15" customHeight="1" x14ac:dyDescent="0.25"/>
    <row r="13" spans="1:8" ht="15" customHeight="1" x14ac:dyDescent="0.25">
      <c r="A13" s="2" t="s">
        <v>338</v>
      </c>
      <c r="B13" s="2">
        <v>110</v>
      </c>
      <c r="C13" s="2">
        <v>500</v>
      </c>
      <c r="D13" s="2">
        <v>150</v>
      </c>
      <c r="E13" s="2">
        <v>60</v>
      </c>
      <c r="F13" s="2">
        <v>9</v>
      </c>
      <c r="G13" s="2">
        <f t="shared" si="0"/>
        <v>51</v>
      </c>
      <c r="H13" s="2" t="str">
        <f t="shared" si="1"/>
        <v>Available</v>
      </c>
    </row>
    <row r="14" spans="1:8" ht="15" customHeight="1" x14ac:dyDescent="0.25">
      <c r="A14" s="2" t="s">
        <v>1000</v>
      </c>
      <c r="B14" s="2">
        <v>200</v>
      </c>
      <c r="D14" s="2">
        <v>250</v>
      </c>
      <c r="E14" s="2">
        <v>30</v>
      </c>
      <c r="F14" s="2">
        <v>4</v>
      </c>
      <c r="G14" s="2">
        <f t="shared" si="0"/>
        <v>26</v>
      </c>
      <c r="H14" s="2" t="str">
        <f t="shared" si="1"/>
        <v>Available</v>
      </c>
    </row>
    <row r="15" spans="1:8" ht="15" customHeight="1" x14ac:dyDescent="0.25">
      <c r="A15" s="2" t="s">
        <v>962</v>
      </c>
      <c r="B15" s="2">
        <v>105</v>
      </c>
      <c r="C15" s="2">
        <v>500</v>
      </c>
      <c r="D15" s="2">
        <v>150</v>
      </c>
      <c r="E15" s="2">
        <v>25</v>
      </c>
      <c r="F15" s="2">
        <v>0</v>
      </c>
      <c r="G15" s="2">
        <f t="shared" si="0"/>
        <v>25</v>
      </c>
      <c r="H15" s="2" t="str">
        <f t="shared" si="1"/>
        <v>Available</v>
      </c>
    </row>
    <row r="16" spans="1:8" ht="13.5" customHeight="1" x14ac:dyDescent="0.25"/>
    <row r="17" spans="1:7" ht="15" hidden="1" customHeight="1" x14ac:dyDescent="0.25"/>
    <row r="18" spans="1:7" ht="15" hidden="1" customHeight="1" x14ac:dyDescent="0.25"/>
    <row r="19" spans="1:7" ht="15" hidden="1" customHeight="1" x14ac:dyDescent="0.25"/>
    <row r="20" spans="1:7" ht="44.25" customHeight="1" x14ac:dyDescent="0.25">
      <c r="A20" s="102" t="s">
        <v>341</v>
      </c>
      <c r="B20" s="72"/>
      <c r="C20" s="72"/>
      <c r="D20" s="72"/>
      <c r="E20" s="72"/>
      <c r="F20" s="72"/>
    </row>
    <row r="21" spans="1:7" s="7" customFormat="1" ht="61.5" customHeight="1" x14ac:dyDescent="0.25">
      <c r="A21" s="4" t="s">
        <v>3</v>
      </c>
      <c r="B21" s="5" t="s">
        <v>60</v>
      </c>
      <c r="C21" s="5" t="s">
        <v>80</v>
      </c>
      <c r="D21" s="5" t="s">
        <v>680</v>
      </c>
      <c r="E21" s="5" t="s">
        <v>681</v>
      </c>
      <c r="F21" s="5" t="s">
        <v>641</v>
      </c>
      <c r="G21" s="5" t="s">
        <v>638</v>
      </c>
    </row>
    <row r="22" spans="1:7" ht="15" customHeight="1" x14ac:dyDescent="0.25">
      <c r="A22" s="2" t="s">
        <v>111</v>
      </c>
      <c r="B22" s="2">
        <v>60</v>
      </c>
      <c r="C22" s="2">
        <v>80</v>
      </c>
      <c r="D22" s="2">
        <v>14</v>
      </c>
      <c r="E22" s="2">
        <v>1</v>
      </c>
      <c r="F22" s="2">
        <f>D22-E22</f>
        <v>13</v>
      </c>
      <c r="G22" s="2" t="str">
        <f>IF(F22&lt;=3,"Reorder","Available")</f>
        <v>Available</v>
      </c>
    </row>
    <row r="23" spans="1:7" ht="15" customHeight="1" x14ac:dyDescent="0.25">
      <c r="A23" s="2" t="s">
        <v>114</v>
      </c>
      <c r="B23" s="2">
        <v>60</v>
      </c>
      <c r="C23" s="2">
        <v>80</v>
      </c>
      <c r="D23" s="2">
        <v>15</v>
      </c>
      <c r="E23" s="2">
        <v>7</v>
      </c>
      <c r="F23" s="2">
        <f t="shared" ref="F23:F25" si="3">D23-E23</f>
        <v>8</v>
      </c>
      <c r="G23" s="2" t="str">
        <f t="shared" ref="G23:G25" si="4">IF(F23&lt;=3,"Reorder","Available")</f>
        <v>Available</v>
      </c>
    </row>
    <row r="24" spans="1:7" ht="15" customHeight="1" x14ac:dyDescent="0.25">
      <c r="A24" s="2" t="s">
        <v>109</v>
      </c>
      <c r="B24" s="2">
        <v>60</v>
      </c>
      <c r="C24" s="2">
        <v>80</v>
      </c>
      <c r="D24" s="2">
        <v>19</v>
      </c>
      <c r="E24" s="2">
        <v>10</v>
      </c>
      <c r="F24" s="2">
        <f t="shared" si="3"/>
        <v>9</v>
      </c>
      <c r="G24" s="2" t="str">
        <f t="shared" si="4"/>
        <v>Available</v>
      </c>
    </row>
    <row r="25" spans="1:7" ht="15" customHeight="1" x14ac:dyDescent="0.25">
      <c r="A25" s="2" t="s">
        <v>17</v>
      </c>
      <c r="B25" s="2">
        <v>60</v>
      </c>
      <c r="C25" s="2">
        <v>80</v>
      </c>
      <c r="D25" s="2">
        <v>19</v>
      </c>
      <c r="E25" s="2">
        <v>1</v>
      </c>
      <c r="F25" s="2">
        <f t="shared" si="3"/>
        <v>18</v>
      </c>
      <c r="G25" s="2" t="str">
        <f t="shared" si="4"/>
        <v>Available</v>
      </c>
    </row>
    <row r="26" spans="1:7" ht="15" customHeight="1" x14ac:dyDescent="0.25"/>
    <row r="27" spans="1:7" ht="15" customHeight="1" x14ac:dyDescent="0.25"/>
    <row r="28" spans="1:7" ht="15" customHeight="1" x14ac:dyDescent="0.25"/>
    <row r="29" spans="1:7" ht="15" customHeight="1" x14ac:dyDescent="0.25"/>
    <row r="30" spans="1:7" ht="15" customHeight="1" x14ac:dyDescent="0.25"/>
    <row r="31" spans="1:7" ht="15" customHeight="1" x14ac:dyDescent="0.25"/>
    <row r="32" spans="1:7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</sheetData>
  <mergeCells count="2">
    <mergeCell ref="A20:F20"/>
    <mergeCell ref="A1:F1"/>
  </mergeCells>
  <conditionalFormatting sqref="A1:F1 A22:B48 C21:C47 A2:D2 D22:F48 A3:F19">
    <cfRule type="expression" dxfId="364" priority="28">
      <formula>ROW()=CELL(ROW)</formula>
    </cfRule>
  </conditionalFormatting>
  <conditionalFormatting sqref="A20:F20 A21:C21">
    <cfRule type="expression" dxfId="363" priority="27">
      <formula>ROW()=CELL(ROW)</formula>
    </cfRule>
  </conditionalFormatting>
  <conditionalFormatting sqref="E2">
    <cfRule type="expression" dxfId="362" priority="26">
      <formula>ROW()=CELL(ROW)</formula>
    </cfRule>
  </conditionalFormatting>
  <conditionalFormatting sqref="H2">
    <cfRule type="containsText" dxfId="361" priority="25" operator="containsText" text="Reorder ">
      <formula>NOT(ISERROR(SEARCH("Reorder ",H2)))</formula>
    </cfRule>
  </conditionalFormatting>
  <conditionalFormatting sqref="H2">
    <cfRule type="containsText" dxfId="360" priority="24" operator="containsText" text="Reorder">
      <formula>NOT(ISERROR(SEARCH("Reorder",H2)))</formula>
    </cfRule>
  </conditionalFormatting>
  <conditionalFormatting sqref="H2">
    <cfRule type="containsText" dxfId="359" priority="23" operator="containsText" text="Reorder">
      <formula>NOT(ISERROR(SEARCH("Reorder",H2)))</formula>
    </cfRule>
  </conditionalFormatting>
  <conditionalFormatting sqref="H2">
    <cfRule type="containsText" dxfId="358" priority="22" operator="containsText" text="Reorder">
      <formula>NOT(ISERROR(SEARCH("Reorder",H2)))</formula>
    </cfRule>
  </conditionalFormatting>
  <conditionalFormatting sqref="H2">
    <cfRule type="containsText" dxfId="357" priority="21" operator="containsText" text="Reorder">
      <formula>NOT(ISERROR(SEARCH("Reorder",H2)))</formula>
    </cfRule>
  </conditionalFormatting>
  <conditionalFormatting sqref="H2">
    <cfRule type="containsText" dxfId="356" priority="20" operator="containsText" text="Reorder">
      <formula>NOT(ISERROR(SEARCH("Reorder",H2)))</formula>
    </cfRule>
  </conditionalFormatting>
  <conditionalFormatting sqref="H2">
    <cfRule type="containsText" dxfId="355" priority="19" operator="containsText" text="Reorder">
      <formula>NOT(ISERROR(SEARCH("Reorder",H2)))</formula>
    </cfRule>
  </conditionalFormatting>
  <conditionalFormatting sqref="H2">
    <cfRule type="containsText" dxfId="354" priority="18" operator="containsText" text="Reorder">
      <formula>NOT(ISERROR(SEARCH("Reorder",H2)))</formula>
    </cfRule>
  </conditionalFormatting>
  <conditionalFormatting sqref="H2">
    <cfRule type="containsText" dxfId="353" priority="17" operator="containsText" text="Reorder ">
      <formula>NOT(ISERROR(SEARCH("Reorder ",H2)))</formula>
    </cfRule>
  </conditionalFormatting>
  <conditionalFormatting sqref="H2">
    <cfRule type="containsText" dxfId="352" priority="16" operator="containsText" text="Reorder">
      <formula>NOT(ISERROR(SEARCH("Reorder",H2)))</formula>
    </cfRule>
  </conditionalFormatting>
  <conditionalFormatting sqref="H2">
    <cfRule type="containsText" dxfId="351" priority="15" operator="containsText" text="Reorder">
      <formula>NOT(ISERROR(SEARCH("Reorder",H2)))</formula>
    </cfRule>
  </conditionalFormatting>
  <conditionalFormatting sqref="D21">
    <cfRule type="expression" dxfId="350" priority="14">
      <formula>ROW()=CELL(ROW)</formula>
    </cfRule>
  </conditionalFormatting>
  <conditionalFormatting sqref="G21">
    <cfRule type="containsText" dxfId="349" priority="13" operator="containsText" text="Reorder ">
      <formula>NOT(ISERROR(SEARCH("Reorder ",G21)))</formula>
    </cfRule>
  </conditionalFormatting>
  <conditionalFormatting sqref="G21">
    <cfRule type="containsText" dxfId="348" priority="12" operator="containsText" text="Reorder">
      <formula>NOT(ISERROR(SEARCH("Reorder",G21)))</formula>
    </cfRule>
  </conditionalFormatting>
  <conditionalFormatting sqref="G21">
    <cfRule type="containsText" dxfId="347" priority="11" operator="containsText" text="Reorder">
      <formula>NOT(ISERROR(SEARCH("Reorder",G21)))</formula>
    </cfRule>
  </conditionalFormatting>
  <conditionalFormatting sqref="G21">
    <cfRule type="containsText" dxfId="346" priority="10" operator="containsText" text="Reorder">
      <formula>NOT(ISERROR(SEARCH("Reorder",G21)))</formula>
    </cfRule>
  </conditionalFormatting>
  <conditionalFormatting sqref="G21">
    <cfRule type="containsText" dxfId="345" priority="9" operator="containsText" text="Reorder">
      <formula>NOT(ISERROR(SEARCH("Reorder",G21)))</formula>
    </cfRule>
  </conditionalFormatting>
  <conditionalFormatting sqref="G21">
    <cfRule type="containsText" dxfId="344" priority="8" operator="containsText" text="Reorder">
      <formula>NOT(ISERROR(SEARCH("Reorder",G21)))</formula>
    </cfRule>
  </conditionalFormatting>
  <conditionalFormatting sqref="G21">
    <cfRule type="containsText" dxfId="343" priority="7" operator="containsText" text="Reorder">
      <formula>NOT(ISERROR(SEARCH("Reorder",G21)))</formula>
    </cfRule>
  </conditionalFormatting>
  <conditionalFormatting sqref="G21">
    <cfRule type="containsText" dxfId="342" priority="6" operator="containsText" text="Reorder">
      <formula>NOT(ISERROR(SEARCH("Reorder",G21)))</formula>
    </cfRule>
  </conditionalFormatting>
  <conditionalFormatting sqref="G21">
    <cfRule type="containsText" dxfId="341" priority="5" operator="containsText" text="Reorder ">
      <formula>NOT(ISERROR(SEARCH("Reorder ",G21)))</formula>
    </cfRule>
  </conditionalFormatting>
  <conditionalFormatting sqref="G21">
    <cfRule type="containsText" dxfId="340" priority="4" operator="containsText" text="Reorder">
      <formula>NOT(ISERROR(SEARCH("Reorder",G21)))</formula>
    </cfRule>
  </conditionalFormatting>
  <conditionalFormatting sqref="G21">
    <cfRule type="containsText" dxfId="339" priority="3" operator="containsText" text="Reorder">
      <formula>NOT(ISERROR(SEARCH("Reorder",G21)))</formula>
    </cfRule>
  </conditionalFormatting>
  <conditionalFormatting sqref="H1:H1048576">
    <cfRule type="containsText" dxfId="338" priority="2" operator="containsText" text="Reorder">
      <formula>NOT(ISERROR(SEARCH("Reorder",H1)))</formula>
    </cfRule>
  </conditionalFormatting>
  <conditionalFormatting sqref="G22:G25">
    <cfRule type="containsText" dxfId="337" priority="1" operator="containsText" text="Reorder">
      <formula>NOT(ISERROR(SEARCH("Reorder",G22)))</formula>
    </cfRule>
  </conditionalFormatting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32"/>
  <sheetViews>
    <sheetView workbookViewId="0">
      <selection activeCell="E10" sqref="E10"/>
    </sheetView>
  </sheetViews>
  <sheetFormatPr defaultRowHeight="15" x14ac:dyDescent="0.25"/>
  <cols>
    <col min="1" max="1" width="30.28515625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6.28515625" style="2" customWidth="1"/>
    <col min="7" max="7" width="11.5703125" style="2" customWidth="1"/>
    <col min="8" max="16384" width="9.140625" style="2"/>
  </cols>
  <sheetData>
    <row r="1" spans="1:7" ht="44.25" customHeight="1" x14ac:dyDescent="0.25">
      <c r="A1" s="102" t="s">
        <v>350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19</v>
      </c>
      <c r="C2" s="5" t="s">
        <v>20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342</v>
      </c>
      <c r="B3" s="2">
        <v>280</v>
      </c>
      <c r="C3" s="2">
        <v>350</v>
      </c>
      <c r="D3" s="2">
        <v>4</v>
      </c>
      <c r="E3" s="2">
        <v>0</v>
      </c>
      <c r="F3" s="2">
        <f>D3-E3</f>
        <v>4</v>
      </c>
      <c r="G3" s="2" t="str">
        <f>IF(F3&lt;=1,"Reorder","Available")</f>
        <v>Available</v>
      </c>
    </row>
    <row r="4" spans="1:7" ht="15" customHeight="1" x14ac:dyDescent="0.25">
      <c r="A4" s="2" t="s">
        <v>343</v>
      </c>
      <c r="B4" s="2">
        <v>300</v>
      </c>
      <c r="C4" s="2">
        <v>350</v>
      </c>
      <c r="D4" s="2">
        <v>3</v>
      </c>
      <c r="E4" s="2">
        <v>3</v>
      </c>
      <c r="F4" s="2">
        <f t="shared" ref="F4:F22" si="0">D4-E4</f>
        <v>0</v>
      </c>
      <c r="G4" s="2" t="str">
        <f t="shared" ref="G4:G22" si="1">IF(F4&lt;=1,"Reorder","Available")</f>
        <v>Reorder</v>
      </c>
    </row>
    <row r="5" spans="1:7" ht="15" customHeight="1" x14ac:dyDescent="0.25">
      <c r="A5" s="2" t="s">
        <v>6</v>
      </c>
      <c r="B5" s="2">
        <v>300</v>
      </c>
      <c r="C5" s="2">
        <v>350</v>
      </c>
      <c r="D5" s="2">
        <v>3</v>
      </c>
      <c r="E5" s="2">
        <v>0</v>
      </c>
      <c r="F5" s="2">
        <f t="shared" si="0"/>
        <v>3</v>
      </c>
      <c r="G5" s="2" t="str">
        <f t="shared" si="1"/>
        <v>Available</v>
      </c>
    </row>
    <row r="6" spans="1:7" ht="15" customHeight="1" x14ac:dyDescent="0.25">
      <c r="A6" s="2" t="s">
        <v>156</v>
      </c>
      <c r="B6" s="2">
        <v>310</v>
      </c>
      <c r="C6" s="2">
        <v>350</v>
      </c>
      <c r="D6" s="2">
        <v>2</v>
      </c>
      <c r="E6" s="2">
        <v>0</v>
      </c>
      <c r="F6" s="2">
        <f t="shared" si="0"/>
        <v>2</v>
      </c>
      <c r="G6" s="2" t="str">
        <f t="shared" si="1"/>
        <v>Available</v>
      </c>
    </row>
    <row r="7" spans="1:7" ht="15" hidden="1" customHeight="1" x14ac:dyDescent="0.25">
      <c r="D7" s="2">
        <v>2</v>
      </c>
      <c r="E7" s="2">
        <v>0</v>
      </c>
      <c r="F7" s="2">
        <f t="shared" si="0"/>
        <v>2</v>
      </c>
      <c r="G7" s="2" t="str">
        <f t="shared" si="1"/>
        <v>Available</v>
      </c>
    </row>
    <row r="8" spans="1:7" ht="15" hidden="1" customHeight="1" x14ac:dyDescent="0.25">
      <c r="D8" s="2">
        <v>2</v>
      </c>
      <c r="E8" s="2">
        <v>0</v>
      </c>
      <c r="F8" s="2">
        <f t="shared" si="0"/>
        <v>2</v>
      </c>
      <c r="G8" s="2" t="str">
        <f t="shared" si="1"/>
        <v>Available</v>
      </c>
    </row>
    <row r="9" spans="1:7" ht="15" hidden="1" customHeight="1" x14ac:dyDescent="0.25">
      <c r="D9" s="2">
        <v>2</v>
      </c>
      <c r="E9" s="2">
        <v>0</v>
      </c>
      <c r="F9" s="2">
        <f t="shared" si="0"/>
        <v>2</v>
      </c>
      <c r="G9" s="2" t="str">
        <f t="shared" si="1"/>
        <v>Available</v>
      </c>
    </row>
    <row r="10" spans="1:7" x14ac:dyDescent="0.25">
      <c r="A10" s="2" t="s">
        <v>17</v>
      </c>
      <c r="B10" s="2">
        <v>280</v>
      </c>
      <c r="C10" s="2">
        <v>330</v>
      </c>
      <c r="D10" s="2">
        <v>2</v>
      </c>
      <c r="E10" s="2">
        <v>0</v>
      </c>
      <c r="F10" s="2">
        <f t="shared" si="0"/>
        <v>2</v>
      </c>
      <c r="G10" s="2" t="str">
        <f t="shared" si="1"/>
        <v>Available</v>
      </c>
    </row>
    <row r="11" spans="1:7" ht="15" customHeight="1" x14ac:dyDescent="0.25">
      <c r="A11" s="2" t="s">
        <v>344</v>
      </c>
      <c r="B11" s="2">
        <v>240</v>
      </c>
      <c r="C11" s="2">
        <v>290</v>
      </c>
      <c r="D11" s="2">
        <v>0</v>
      </c>
      <c r="E11" s="2">
        <v>0</v>
      </c>
      <c r="F11" s="2">
        <f t="shared" si="0"/>
        <v>0</v>
      </c>
      <c r="G11" s="2" t="str">
        <f t="shared" si="1"/>
        <v>Reorder</v>
      </c>
    </row>
    <row r="12" spans="1:7" ht="15" customHeight="1" x14ac:dyDescent="0.25">
      <c r="A12" s="2" t="s">
        <v>345</v>
      </c>
      <c r="B12" s="2">
        <v>300</v>
      </c>
      <c r="C12" s="2">
        <v>350</v>
      </c>
      <c r="D12" s="2">
        <v>5</v>
      </c>
      <c r="E12" s="2">
        <v>0</v>
      </c>
      <c r="F12" s="2">
        <f t="shared" si="0"/>
        <v>5</v>
      </c>
      <c r="G12" s="2" t="str">
        <f t="shared" si="1"/>
        <v>Available</v>
      </c>
    </row>
    <row r="13" spans="1:7" ht="15" customHeight="1" x14ac:dyDescent="0.25">
      <c r="A13" s="2" t="s">
        <v>346</v>
      </c>
      <c r="B13" s="2">
        <v>270</v>
      </c>
      <c r="C13" s="2">
        <v>300</v>
      </c>
      <c r="D13" s="2">
        <v>3</v>
      </c>
      <c r="E13" s="2">
        <v>2</v>
      </c>
      <c r="F13" s="2">
        <f t="shared" si="0"/>
        <v>1</v>
      </c>
      <c r="G13" s="2" t="str">
        <f t="shared" si="1"/>
        <v>Reorder</v>
      </c>
    </row>
    <row r="14" spans="1:7" ht="15" customHeight="1" x14ac:dyDescent="0.25">
      <c r="A14" s="2" t="s">
        <v>347</v>
      </c>
      <c r="B14" s="2">
        <v>270</v>
      </c>
      <c r="C14" s="2">
        <v>300</v>
      </c>
      <c r="D14" s="2">
        <v>3</v>
      </c>
      <c r="E14" s="2">
        <v>0</v>
      </c>
      <c r="F14" s="2">
        <f t="shared" si="0"/>
        <v>3</v>
      </c>
      <c r="G14" s="2" t="str">
        <f t="shared" si="1"/>
        <v>Available</v>
      </c>
    </row>
    <row r="15" spans="1:7" ht="15" customHeight="1" x14ac:dyDescent="0.25">
      <c r="A15" s="2" t="s">
        <v>624</v>
      </c>
      <c r="B15" s="2">
        <v>240</v>
      </c>
      <c r="C15" s="2">
        <v>300</v>
      </c>
      <c r="D15" s="2">
        <v>3</v>
      </c>
      <c r="E15" s="2">
        <v>1</v>
      </c>
      <c r="F15" s="2">
        <f t="shared" si="0"/>
        <v>2</v>
      </c>
      <c r="G15" s="2" t="str">
        <f t="shared" si="1"/>
        <v>Available</v>
      </c>
    </row>
    <row r="16" spans="1:7" ht="15" customHeight="1" x14ac:dyDescent="0.25">
      <c r="A16" s="2" t="s">
        <v>625</v>
      </c>
      <c r="B16" s="2">
        <v>250</v>
      </c>
      <c r="C16" s="2">
        <v>300</v>
      </c>
      <c r="D16" s="2">
        <v>0</v>
      </c>
      <c r="E16" s="2">
        <v>0</v>
      </c>
      <c r="F16" s="2">
        <f t="shared" si="0"/>
        <v>0</v>
      </c>
      <c r="G16" s="2" t="str">
        <f t="shared" si="1"/>
        <v>Reorder</v>
      </c>
    </row>
    <row r="17" spans="1:7" ht="15" customHeight="1" x14ac:dyDescent="0.25">
      <c r="A17" s="2" t="s">
        <v>39</v>
      </c>
      <c r="B17" s="2">
        <v>290</v>
      </c>
      <c r="C17" s="2">
        <v>360</v>
      </c>
      <c r="D17" s="2">
        <v>2</v>
      </c>
      <c r="E17" s="2">
        <v>0</v>
      </c>
      <c r="F17" s="2">
        <f t="shared" si="0"/>
        <v>2</v>
      </c>
      <c r="G17" s="2" t="str">
        <f t="shared" si="1"/>
        <v>Available</v>
      </c>
    </row>
    <row r="18" spans="1:7" ht="15" customHeight="1" x14ac:dyDescent="0.25">
      <c r="A18" s="2" t="s">
        <v>348</v>
      </c>
      <c r="B18" s="2">
        <v>295</v>
      </c>
      <c r="C18" s="2">
        <v>350</v>
      </c>
      <c r="D18" s="2">
        <v>2</v>
      </c>
      <c r="E18" s="2">
        <v>1</v>
      </c>
      <c r="F18" s="2">
        <f t="shared" si="0"/>
        <v>1</v>
      </c>
      <c r="G18" s="2" t="str">
        <f t="shared" si="1"/>
        <v>Reorder</v>
      </c>
    </row>
    <row r="19" spans="1:7" ht="15" customHeight="1" x14ac:dyDescent="0.25">
      <c r="A19" s="2" t="s">
        <v>100</v>
      </c>
      <c r="B19" s="2">
        <v>300</v>
      </c>
      <c r="C19" s="2">
        <v>360</v>
      </c>
      <c r="D19" s="2">
        <v>2</v>
      </c>
      <c r="E19" s="2">
        <v>2</v>
      </c>
      <c r="F19" s="2">
        <f t="shared" si="0"/>
        <v>0</v>
      </c>
      <c r="G19" s="2" t="str">
        <f t="shared" si="1"/>
        <v>Reorder</v>
      </c>
    </row>
    <row r="20" spans="1:7" ht="15" customHeight="1" x14ac:dyDescent="0.25">
      <c r="A20" s="2" t="s">
        <v>297</v>
      </c>
      <c r="B20" s="2">
        <v>365</v>
      </c>
      <c r="C20" s="2">
        <v>405</v>
      </c>
      <c r="D20" s="2">
        <v>2</v>
      </c>
      <c r="E20" s="2">
        <v>0</v>
      </c>
      <c r="F20" s="2">
        <f t="shared" si="0"/>
        <v>2</v>
      </c>
      <c r="G20" s="2" t="str">
        <f t="shared" si="1"/>
        <v>Available</v>
      </c>
    </row>
    <row r="21" spans="1:7" ht="15" customHeight="1" x14ac:dyDescent="0.25">
      <c r="A21" s="2" t="s">
        <v>349</v>
      </c>
      <c r="B21" s="2">
        <v>365</v>
      </c>
      <c r="C21" s="2">
        <v>405</v>
      </c>
      <c r="D21" s="2">
        <v>2</v>
      </c>
      <c r="E21" s="2">
        <v>0</v>
      </c>
      <c r="F21" s="2">
        <f t="shared" si="0"/>
        <v>2</v>
      </c>
      <c r="G21" s="2" t="str">
        <f t="shared" si="1"/>
        <v>Available</v>
      </c>
    </row>
    <row r="22" spans="1:7" ht="15" customHeight="1" x14ac:dyDescent="0.25">
      <c r="A22" s="2" t="s">
        <v>382</v>
      </c>
      <c r="B22" s="2">
        <v>390</v>
      </c>
      <c r="C22" s="2">
        <v>450</v>
      </c>
      <c r="D22" s="2">
        <v>4</v>
      </c>
      <c r="E22" s="2">
        <v>1</v>
      </c>
      <c r="F22" s="2">
        <f t="shared" si="0"/>
        <v>3</v>
      </c>
      <c r="G22" s="2" t="str">
        <f t="shared" si="1"/>
        <v>Available</v>
      </c>
    </row>
    <row r="23" spans="1:7" ht="15" customHeight="1" x14ac:dyDescent="0.25"/>
    <row r="24" spans="1:7" ht="15" customHeight="1" x14ac:dyDescent="0.25"/>
    <row r="25" spans="1:7" ht="15" customHeight="1" x14ac:dyDescent="0.25"/>
    <row r="26" spans="1:7" ht="15" customHeight="1" x14ac:dyDescent="0.25"/>
    <row r="27" spans="1:7" ht="15" customHeight="1" x14ac:dyDescent="0.25"/>
    <row r="28" spans="1:7" ht="15" customHeight="1" x14ac:dyDescent="0.25"/>
    <row r="29" spans="1:7" ht="15" customHeight="1" x14ac:dyDescent="0.25"/>
    <row r="30" spans="1:7" ht="15" customHeight="1" x14ac:dyDescent="0.25"/>
    <row r="31" spans="1:7" ht="15" customHeight="1" x14ac:dyDescent="0.25"/>
    <row r="32" spans="1:7" ht="15" customHeight="1" x14ac:dyDescent="0.25"/>
  </sheetData>
  <mergeCells count="1">
    <mergeCell ref="A1:E1"/>
  </mergeCells>
  <conditionalFormatting sqref="A1:E1 A2:C2 A3:E31">
    <cfRule type="expression" dxfId="336" priority="14">
      <formula>ROW()=CELL(ROW)</formula>
    </cfRule>
  </conditionalFormatting>
  <conditionalFormatting sqref="D2">
    <cfRule type="expression" dxfId="335" priority="13">
      <formula>ROW()=CELL(ROW)</formula>
    </cfRule>
  </conditionalFormatting>
  <conditionalFormatting sqref="G2">
    <cfRule type="containsText" dxfId="334" priority="12" operator="containsText" text="Reorder ">
      <formula>NOT(ISERROR(SEARCH("Reorder ",G2)))</formula>
    </cfRule>
  </conditionalFormatting>
  <conditionalFormatting sqref="G2">
    <cfRule type="containsText" dxfId="333" priority="11" operator="containsText" text="Reorder">
      <formula>NOT(ISERROR(SEARCH("Reorder",G2)))</formula>
    </cfRule>
  </conditionalFormatting>
  <conditionalFormatting sqref="G2">
    <cfRule type="containsText" dxfId="332" priority="10" operator="containsText" text="Reorder">
      <formula>NOT(ISERROR(SEARCH("Reorder",G2)))</formula>
    </cfRule>
  </conditionalFormatting>
  <conditionalFormatting sqref="G2">
    <cfRule type="containsText" dxfId="331" priority="9" operator="containsText" text="Reorder">
      <formula>NOT(ISERROR(SEARCH("Reorder",G2)))</formula>
    </cfRule>
  </conditionalFormatting>
  <conditionalFormatting sqref="G2">
    <cfRule type="containsText" dxfId="330" priority="8" operator="containsText" text="Reorder">
      <formula>NOT(ISERROR(SEARCH("Reorder",G2)))</formula>
    </cfRule>
  </conditionalFormatting>
  <conditionalFormatting sqref="G2">
    <cfRule type="containsText" dxfId="329" priority="7" operator="containsText" text="Reorder">
      <formula>NOT(ISERROR(SEARCH("Reorder",G2)))</formula>
    </cfRule>
  </conditionalFormatting>
  <conditionalFormatting sqref="G2">
    <cfRule type="containsText" dxfId="328" priority="6" operator="containsText" text="Reorder">
      <formula>NOT(ISERROR(SEARCH("Reorder",G2)))</formula>
    </cfRule>
  </conditionalFormatting>
  <conditionalFormatting sqref="G2">
    <cfRule type="containsText" dxfId="327" priority="5" operator="containsText" text="Reorder">
      <formula>NOT(ISERROR(SEARCH("Reorder",G2)))</formula>
    </cfRule>
  </conditionalFormatting>
  <conditionalFormatting sqref="G2">
    <cfRule type="containsText" dxfId="326" priority="4" operator="containsText" text="Reorder ">
      <formula>NOT(ISERROR(SEARCH("Reorder ",G2)))</formula>
    </cfRule>
  </conditionalFormatting>
  <conditionalFormatting sqref="G2">
    <cfRule type="containsText" dxfId="325" priority="3" operator="containsText" text="Reorder">
      <formula>NOT(ISERROR(SEARCH("Reorder",G2)))</formula>
    </cfRule>
  </conditionalFormatting>
  <conditionalFormatting sqref="G2">
    <cfRule type="containsText" dxfId="324" priority="2" operator="containsText" text="Reorder">
      <formula>NOT(ISERROR(SEARCH("Reorder",G2)))</formula>
    </cfRule>
  </conditionalFormatting>
  <conditionalFormatting sqref="G1:G1048576">
    <cfRule type="containsText" dxfId="323" priority="1" operator="containsText" text="Reorder">
      <formula>NOT(ISERROR(SEARCH("Reorder",G1)))</formula>
    </cfRule>
  </conditionalFormatting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2"/>
  <sheetViews>
    <sheetView workbookViewId="0">
      <selection sqref="A1:E1"/>
    </sheetView>
  </sheetViews>
  <sheetFormatPr defaultRowHeight="15" x14ac:dyDescent="0.25"/>
  <cols>
    <col min="1" max="1" width="43.28515625" style="2" bestFit="1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6.85546875" style="2" customWidth="1"/>
    <col min="7" max="7" width="11.28515625" style="2" customWidth="1"/>
    <col min="8" max="16384" width="9.140625" style="2"/>
  </cols>
  <sheetData>
    <row r="1" spans="1:7" ht="44.25" customHeight="1" x14ac:dyDescent="0.25">
      <c r="A1" s="102" t="s">
        <v>351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19</v>
      </c>
      <c r="C2" s="5" t="s">
        <v>20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352</v>
      </c>
      <c r="B3" s="2">
        <v>1540</v>
      </c>
      <c r="C3" s="2">
        <v>1800</v>
      </c>
      <c r="D3" s="2">
        <v>1</v>
      </c>
      <c r="E3" s="2">
        <v>0</v>
      </c>
      <c r="F3" s="2">
        <f>D3-E3</f>
        <v>1</v>
      </c>
      <c r="G3" s="2" t="str">
        <f>IF(F3&lt;=0,"Reorder","Available")</f>
        <v>Available</v>
      </c>
    </row>
    <row r="4" spans="1:7" ht="15" customHeight="1" x14ac:dyDescent="0.25">
      <c r="A4" s="2" t="s">
        <v>354</v>
      </c>
      <c r="B4" s="2">
        <v>1100</v>
      </c>
      <c r="C4" s="2">
        <v>1300</v>
      </c>
      <c r="D4" s="2">
        <v>2</v>
      </c>
      <c r="E4" s="2">
        <v>0</v>
      </c>
      <c r="F4" s="2">
        <f t="shared" ref="F4:F12" si="0">D4-E4</f>
        <v>2</v>
      </c>
      <c r="G4" s="2" t="str">
        <f t="shared" ref="G4:G12" si="1">IF(F4&lt;=0,"Reorder","Available")</f>
        <v>Available</v>
      </c>
    </row>
    <row r="5" spans="1:7" ht="15" customHeight="1" x14ac:dyDescent="0.25">
      <c r="A5" s="2" t="s">
        <v>353</v>
      </c>
      <c r="B5" s="2">
        <v>1650</v>
      </c>
      <c r="C5" s="2">
        <v>1800</v>
      </c>
      <c r="D5" s="2">
        <v>1</v>
      </c>
      <c r="E5" s="2">
        <v>0</v>
      </c>
      <c r="F5" s="2">
        <f t="shared" si="0"/>
        <v>1</v>
      </c>
      <c r="G5" s="2" t="str">
        <f t="shared" si="1"/>
        <v>Available</v>
      </c>
    </row>
    <row r="6" spans="1:7" ht="15" customHeight="1" x14ac:dyDescent="0.25">
      <c r="A6" s="2" t="s">
        <v>986</v>
      </c>
      <c r="B6" s="2">
        <v>1380</v>
      </c>
      <c r="C6" s="2">
        <v>1550</v>
      </c>
      <c r="D6" s="2">
        <v>1</v>
      </c>
      <c r="E6" s="2">
        <v>1</v>
      </c>
      <c r="F6" s="2">
        <f t="shared" si="0"/>
        <v>0</v>
      </c>
      <c r="G6" s="2" t="str">
        <f t="shared" si="1"/>
        <v>Reorder</v>
      </c>
    </row>
    <row r="7" spans="1:7" ht="15" customHeight="1" x14ac:dyDescent="0.25">
      <c r="A7" s="2" t="s">
        <v>355</v>
      </c>
      <c r="B7" s="2">
        <v>905</v>
      </c>
      <c r="C7" s="2">
        <v>1120</v>
      </c>
      <c r="D7" s="2">
        <v>1</v>
      </c>
      <c r="E7" s="2">
        <v>0</v>
      </c>
      <c r="F7" s="2">
        <f t="shared" si="0"/>
        <v>1</v>
      </c>
      <c r="G7" s="2" t="str">
        <f t="shared" si="1"/>
        <v>Available</v>
      </c>
    </row>
    <row r="8" spans="1:7" ht="15" customHeight="1" x14ac:dyDescent="0.25">
      <c r="A8" s="2" t="s">
        <v>356</v>
      </c>
      <c r="B8" s="2">
        <v>1060</v>
      </c>
      <c r="C8" s="2">
        <v>1260</v>
      </c>
      <c r="D8" s="2">
        <v>1</v>
      </c>
      <c r="E8" s="2">
        <v>0</v>
      </c>
      <c r="F8" s="2">
        <f t="shared" si="0"/>
        <v>1</v>
      </c>
      <c r="G8" s="2" t="str">
        <f t="shared" si="1"/>
        <v>Available</v>
      </c>
    </row>
    <row r="9" spans="1:7" x14ac:dyDescent="0.25">
      <c r="A9" s="2" t="s">
        <v>878</v>
      </c>
      <c r="B9" s="2">
        <v>1550</v>
      </c>
      <c r="C9" s="2">
        <v>1750</v>
      </c>
      <c r="D9" s="2">
        <v>1</v>
      </c>
      <c r="E9" s="2">
        <v>0</v>
      </c>
      <c r="F9" s="2">
        <f t="shared" si="0"/>
        <v>1</v>
      </c>
      <c r="G9" s="2" t="str">
        <f t="shared" si="1"/>
        <v>Available</v>
      </c>
    </row>
    <row r="10" spans="1:7" s="3" customFormat="1" x14ac:dyDescent="0.25">
      <c r="A10" s="2" t="s">
        <v>820</v>
      </c>
      <c r="B10" s="2">
        <v>1950</v>
      </c>
      <c r="C10" s="2">
        <v>2250</v>
      </c>
      <c r="D10" s="2">
        <v>1</v>
      </c>
      <c r="E10" s="2">
        <v>0</v>
      </c>
      <c r="F10" s="2">
        <f t="shared" si="0"/>
        <v>1</v>
      </c>
      <c r="G10" s="2" t="str">
        <f t="shared" si="1"/>
        <v>Available</v>
      </c>
    </row>
    <row r="11" spans="1:7" x14ac:dyDescent="0.25">
      <c r="A11" s="2" t="s">
        <v>977</v>
      </c>
      <c r="B11" s="2">
        <v>1450</v>
      </c>
      <c r="C11" s="2">
        <v>1650</v>
      </c>
      <c r="D11" s="2">
        <v>3</v>
      </c>
      <c r="E11" s="2">
        <v>0</v>
      </c>
      <c r="F11" s="2">
        <f t="shared" si="0"/>
        <v>3</v>
      </c>
      <c r="G11" s="2" t="str">
        <f t="shared" si="1"/>
        <v>Available</v>
      </c>
    </row>
    <row r="12" spans="1:7" x14ac:dyDescent="0.25">
      <c r="A12" s="2" t="s">
        <v>1007</v>
      </c>
      <c r="B12" s="2">
        <v>580</v>
      </c>
      <c r="C12" s="2">
        <v>750</v>
      </c>
      <c r="D12" s="2">
        <v>1</v>
      </c>
      <c r="E12" s="2">
        <v>0</v>
      </c>
      <c r="F12" s="2">
        <f t="shared" si="0"/>
        <v>1</v>
      </c>
      <c r="G12" s="2" t="str">
        <f t="shared" si="1"/>
        <v>Available</v>
      </c>
    </row>
  </sheetData>
  <mergeCells count="1">
    <mergeCell ref="A1:E1"/>
  </mergeCells>
  <conditionalFormatting sqref="A1:E1 A3:E3 A2:C2 A4:C7 D4:E8">
    <cfRule type="expression" dxfId="322" priority="18">
      <formula>ROW()=CELL(ROW)</formula>
    </cfRule>
  </conditionalFormatting>
  <conditionalFormatting sqref="D2">
    <cfRule type="expression" dxfId="321" priority="17">
      <formula>ROW()=CELL(ROW)</formula>
    </cfRule>
  </conditionalFormatting>
  <conditionalFormatting sqref="G2">
    <cfRule type="containsText" dxfId="320" priority="16" operator="containsText" text="Reorder ">
      <formula>NOT(ISERROR(SEARCH("Reorder ",G2)))</formula>
    </cfRule>
  </conditionalFormatting>
  <conditionalFormatting sqref="G2">
    <cfRule type="containsText" dxfId="319" priority="15" operator="containsText" text="Reorder">
      <formula>NOT(ISERROR(SEARCH("Reorder",G2)))</formula>
    </cfRule>
  </conditionalFormatting>
  <conditionalFormatting sqref="G2">
    <cfRule type="containsText" dxfId="318" priority="14" operator="containsText" text="Reorder">
      <formula>NOT(ISERROR(SEARCH("Reorder",G2)))</formula>
    </cfRule>
  </conditionalFormatting>
  <conditionalFormatting sqref="G2">
    <cfRule type="containsText" dxfId="317" priority="13" operator="containsText" text="Reorder">
      <formula>NOT(ISERROR(SEARCH("Reorder",G2)))</formula>
    </cfRule>
  </conditionalFormatting>
  <conditionalFormatting sqref="G2">
    <cfRule type="containsText" dxfId="316" priority="12" operator="containsText" text="Reorder">
      <formula>NOT(ISERROR(SEARCH("Reorder",G2)))</formula>
    </cfRule>
  </conditionalFormatting>
  <conditionalFormatting sqref="G2">
    <cfRule type="containsText" dxfId="315" priority="11" operator="containsText" text="Reorder">
      <formula>NOT(ISERROR(SEARCH("Reorder",G2)))</formula>
    </cfRule>
  </conditionalFormatting>
  <conditionalFormatting sqref="G2">
    <cfRule type="containsText" dxfId="314" priority="10" operator="containsText" text="Reorder">
      <formula>NOT(ISERROR(SEARCH("Reorder",G2)))</formula>
    </cfRule>
  </conditionalFormatting>
  <conditionalFormatting sqref="G2">
    <cfRule type="containsText" dxfId="313" priority="9" operator="containsText" text="Reorder">
      <formula>NOT(ISERROR(SEARCH("Reorder",G2)))</formula>
    </cfRule>
  </conditionalFormatting>
  <conditionalFormatting sqref="G2">
    <cfRule type="containsText" dxfId="312" priority="8" operator="containsText" text="Reorder ">
      <formula>NOT(ISERROR(SEARCH("Reorder ",G2)))</formula>
    </cfRule>
  </conditionalFormatting>
  <conditionalFormatting sqref="G2">
    <cfRule type="containsText" dxfId="311" priority="7" operator="containsText" text="Reorder">
      <formula>NOT(ISERROR(SEARCH("Reorder",G2)))</formula>
    </cfRule>
  </conditionalFormatting>
  <conditionalFormatting sqref="G2">
    <cfRule type="containsText" dxfId="310" priority="6" operator="containsText" text="Reorder">
      <formula>NOT(ISERROR(SEARCH("Reorder",G2)))</formula>
    </cfRule>
  </conditionalFormatting>
  <conditionalFormatting sqref="G2">
    <cfRule type="containsText" dxfId="309" priority="5" operator="containsText" text="Reorder">
      <formula>NOT(ISERROR(SEARCH("Reorder",G2)))</formula>
    </cfRule>
  </conditionalFormatting>
  <conditionalFormatting sqref="G1:G1048576">
    <cfRule type="containsText" dxfId="308" priority="4" operator="containsText" text="Reorder">
      <formula>NOT(ISERROR(SEARCH("Reorder",G1)))</formula>
    </cfRule>
  </conditionalFormatting>
  <conditionalFormatting sqref="B10:C10">
    <cfRule type="expression" dxfId="307" priority="3">
      <formula>ROW()=CELL(ROW)</formula>
    </cfRule>
  </conditionalFormatting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3"/>
  <sheetViews>
    <sheetView workbookViewId="0">
      <selection sqref="A1:E1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6.42578125" style="2" customWidth="1"/>
    <col min="7" max="7" width="11.42578125" style="2" customWidth="1"/>
    <col min="8" max="16384" width="9.140625" style="2"/>
  </cols>
  <sheetData>
    <row r="1" spans="1:7" ht="44.25" customHeight="1" x14ac:dyDescent="0.25">
      <c r="A1" s="102" t="s">
        <v>357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19</v>
      </c>
      <c r="C2" s="5" t="s">
        <v>20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151</v>
      </c>
      <c r="B3" s="2">
        <v>380</v>
      </c>
      <c r="C3" s="2">
        <v>430</v>
      </c>
      <c r="D3" s="2">
        <v>2</v>
      </c>
      <c r="E3" s="2">
        <v>0</v>
      </c>
      <c r="F3" s="2">
        <f>D3-E3</f>
        <v>2</v>
      </c>
      <c r="G3" s="2" t="str">
        <f>IF(F3&lt;=0,"Reorder","Available")</f>
        <v>Available</v>
      </c>
    </row>
    <row r="4" spans="1:7" ht="15" customHeight="1" x14ac:dyDescent="0.25">
      <c r="A4" s="2" t="s">
        <v>311</v>
      </c>
      <c r="B4" s="2">
        <v>340</v>
      </c>
      <c r="C4" s="2">
        <v>370</v>
      </c>
      <c r="D4" s="2">
        <v>0</v>
      </c>
      <c r="E4" s="2">
        <v>0</v>
      </c>
      <c r="F4" s="2">
        <f t="shared" ref="F4:F13" si="0">D4-E4</f>
        <v>0</v>
      </c>
      <c r="G4" s="2" t="str">
        <f t="shared" ref="G4:G13" si="1">IF(F4&lt;=0,"Reorder","Available")</f>
        <v>Reorder</v>
      </c>
    </row>
    <row r="5" spans="1:7" ht="15" customHeight="1" x14ac:dyDescent="0.25">
      <c r="A5" s="2" t="s">
        <v>12</v>
      </c>
      <c r="B5" s="2">
        <v>380</v>
      </c>
      <c r="C5" s="2">
        <v>430</v>
      </c>
      <c r="D5" s="2">
        <v>0</v>
      </c>
      <c r="E5" s="2">
        <v>0</v>
      </c>
      <c r="F5" s="2">
        <f t="shared" si="0"/>
        <v>0</v>
      </c>
      <c r="G5" s="2" t="str">
        <f t="shared" si="1"/>
        <v>Reorder</v>
      </c>
    </row>
    <row r="6" spans="1:7" ht="15" customHeight="1" x14ac:dyDescent="0.25">
      <c r="A6" s="2" t="s">
        <v>49</v>
      </c>
      <c r="B6" s="2">
        <v>280</v>
      </c>
      <c r="C6" s="2">
        <v>330</v>
      </c>
      <c r="D6" s="2">
        <v>2</v>
      </c>
      <c r="E6" s="2">
        <v>0</v>
      </c>
      <c r="F6" s="2">
        <f t="shared" si="0"/>
        <v>2</v>
      </c>
      <c r="G6" s="2" t="str">
        <f t="shared" si="1"/>
        <v>Available</v>
      </c>
    </row>
    <row r="7" spans="1:7" ht="15" customHeight="1" x14ac:dyDescent="0.25">
      <c r="A7" s="2" t="s">
        <v>48</v>
      </c>
      <c r="B7" s="2">
        <v>340</v>
      </c>
      <c r="C7" s="2">
        <v>380</v>
      </c>
      <c r="D7" s="2">
        <v>2</v>
      </c>
      <c r="E7" s="2">
        <v>0</v>
      </c>
      <c r="F7" s="2">
        <f t="shared" si="0"/>
        <v>2</v>
      </c>
      <c r="G7" s="2" t="str">
        <f t="shared" si="1"/>
        <v>Available</v>
      </c>
    </row>
    <row r="8" spans="1:7" ht="15" customHeight="1" x14ac:dyDescent="0.25">
      <c r="A8" s="2" t="s">
        <v>30</v>
      </c>
      <c r="B8" s="2">
        <v>440</v>
      </c>
      <c r="C8" s="2">
        <v>490</v>
      </c>
      <c r="D8" s="2">
        <v>2</v>
      </c>
      <c r="E8" s="2">
        <v>0</v>
      </c>
      <c r="F8" s="2">
        <f t="shared" si="0"/>
        <v>2</v>
      </c>
      <c r="G8" s="2" t="str">
        <f t="shared" si="1"/>
        <v>Available</v>
      </c>
    </row>
    <row r="9" spans="1:7" ht="15" customHeight="1" x14ac:dyDescent="0.25">
      <c r="A9" s="2" t="s">
        <v>260</v>
      </c>
      <c r="B9" s="2">
        <v>280</v>
      </c>
      <c r="C9" s="2">
        <v>330</v>
      </c>
      <c r="D9" s="2">
        <v>2</v>
      </c>
      <c r="E9" s="2">
        <v>0</v>
      </c>
      <c r="F9" s="2">
        <f t="shared" si="0"/>
        <v>2</v>
      </c>
      <c r="G9" s="2" t="str">
        <f t="shared" si="1"/>
        <v>Available</v>
      </c>
    </row>
    <row r="10" spans="1:7" x14ac:dyDescent="0.25">
      <c r="A10" s="2" t="s">
        <v>297</v>
      </c>
      <c r="B10" s="2">
        <v>340</v>
      </c>
      <c r="C10" s="2">
        <v>390</v>
      </c>
      <c r="D10" s="2">
        <v>1</v>
      </c>
      <c r="E10" s="2">
        <v>0</v>
      </c>
      <c r="F10" s="2">
        <f t="shared" si="0"/>
        <v>1</v>
      </c>
      <c r="G10" s="2" t="str">
        <f t="shared" si="1"/>
        <v>Available</v>
      </c>
    </row>
    <row r="11" spans="1:7" x14ac:dyDescent="0.25">
      <c r="A11" s="2" t="s">
        <v>17</v>
      </c>
      <c r="B11" s="2">
        <v>380</v>
      </c>
      <c r="C11" s="2">
        <v>430</v>
      </c>
      <c r="D11" s="2">
        <v>2</v>
      </c>
      <c r="E11" s="2">
        <v>0</v>
      </c>
      <c r="F11" s="2">
        <f t="shared" si="0"/>
        <v>2</v>
      </c>
      <c r="G11" s="2" t="str">
        <f t="shared" si="1"/>
        <v>Available</v>
      </c>
    </row>
    <row r="12" spans="1:7" x14ac:dyDescent="0.25">
      <c r="A12" s="2" t="s">
        <v>115</v>
      </c>
      <c r="B12" s="2">
        <v>280</v>
      </c>
      <c r="C12" s="2">
        <v>330</v>
      </c>
      <c r="D12" s="2">
        <v>2</v>
      </c>
      <c r="E12" s="2">
        <v>0</v>
      </c>
      <c r="F12" s="2">
        <f t="shared" si="0"/>
        <v>2</v>
      </c>
      <c r="G12" s="2" t="str">
        <f t="shared" si="1"/>
        <v>Available</v>
      </c>
    </row>
    <row r="13" spans="1:7" x14ac:dyDescent="0.25">
      <c r="A13" s="2" t="s">
        <v>358</v>
      </c>
      <c r="B13" s="2">
        <v>380</v>
      </c>
      <c r="C13" s="2">
        <v>430</v>
      </c>
      <c r="D13" s="2">
        <v>2</v>
      </c>
      <c r="E13" s="2">
        <v>0</v>
      </c>
      <c r="F13" s="2">
        <f t="shared" si="0"/>
        <v>2</v>
      </c>
      <c r="G13" s="2" t="str">
        <f t="shared" si="1"/>
        <v>Available</v>
      </c>
    </row>
  </sheetData>
  <mergeCells count="1">
    <mergeCell ref="A1:E1"/>
  </mergeCells>
  <conditionalFormatting sqref="A1:E1 A3:E3 A2:C2 A4:C8 D4:E13">
    <cfRule type="expression" dxfId="306" priority="16">
      <formula>ROW()=CELL(ROW)</formula>
    </cfRule>
  </conditionalFormatting>
  <conditionalFormatting sqref="D2">
    <cfRule type="expression" dxfId="305" priority="15">
      <formula>ROW()=CELL(ROW)</formula>
    </cfRule>
  </conditionalFormatting>
  <conditionalFormatting sqref="G2">
    <cfRule type="containsText" dxfId="304" priority="14" operator="containsText" text="Reorder ">
      <formula>NOT(ISERROR(SEARCH("Reorder ",G2)))</formula>
    </cfRule>
  </conditionalFormatting>
  <conditionalFormatting sqref="G2">
    <cfRule type="containsText" dxfId="303" priority="13" operator="containsText" text="Reorder">
      <formula>NOT(ISERROR(SEARCH("Reorder",G2)))</formula>
    </cfRule>
  </conditionalFormatting>
  <conditionalFormatting sqref="G2">
    <cfRule type="containsText" dxfId="302" priority="12" operator="containsText" text="Reorder">
      <formula>NOT(ISERROR(SEARCH("Reorder",G2)))</formula>
    </cfRule>
  </conditionalFormatting>
  <conditionalFormatting sqref="G2">
    <cfRule type="containsText" dxfId="301" priority="11" operator="containsText" text="Reorder">
      <formula>NOT(ISERROR(SEARCH("Reorder",G2)))</formula>
    </cfRule>
  </conditionalFormatting>
  <conditionalFormatting sqref="G2">
    <cfRule type="containsText" dxfId="300" priority="10" operator="containsText" text="Reorder">
      <formula>NOT(ISERROR(SEARCH("Reorder",G2)))</formula>
    </cfRule>
  </conditionalFormatting>
  <conditionalFormatting sqref="G2">
    <cfRule type="containsText" dxfId="299" priority="9" operator="containsText" text="Reorder">
      <formula>NOT(ISERROR(SEARCH("Reorder",G2)))</formula>
    </cfRule>
  </conditionalFormatting>
  <conditionalFormatting sqref="G2">
    <cfRule type="containsText" dxfId="298" priority="8" operator="containsText" text="Reorder">
      <formula>NOT(ISERROR(SEARCH("Reorder",G2)))</formula>
    </cfRule>
  </conditionalFormatting>
  <conditionalFormatting sqref="G2">
    <cfRule type="containsText" dxfId="297" priority="7" operator="containsText" text="Reorder">
      <formula>NOT(ISERROR(SEARCH("Reorder",G2)))</formula>
    </cfRule>
  </conditionalFormatting>
  <conditionalFormatting sqref="G2">
    <cfRule type="containsText" dxfId="296" priority="6" operator="containsText" text="Reorder ">
      <formula>NOT(ISERROR(SEARCH("Reorder ",G2)))</formula>
    </cfRule>
  </conditionalFormatting>
  <conditionalFormatting sqref="G2">
    <cfRule type="containsText" dxfId="295" priority="5" operator="containsText" text="Reorder">
      <formula>NOT(ISERROR(SEARCH("Reorder",G2)))</formula>
    </cfRule>
  </conditionalFormatting>
  <conditionalFormatting sqref="G2">
    <cfRule type="containsText" dxfId="294" priority="4" operator="containsText" text="Reorder">
      <formula>NOT(ISERROR(SEARCH("Reorder",G2)))</formula>
    </cfRule>
  </conditionalFormatting>
  <conditionalFormatting sqref="G2">
    <cfRule type="containsText" dxfId="293" priority="3" operator="containsText" text="Reorder">
      <formula>NOT(ISERROR(SEARCH("Reorder",G2)))</formula>
    </cfRule>
  </conditionalFormatting>
  <conditionalFormatting sqref="G2">
    <cfRule type="containsText" dxfId="292" priority="2" operator="containsText" text="Reorder">
      <formula>NOT(ISERROR(SEARCH("Reorder",G2)))</formula>
    </cfRule>
  </conditionalFormatting>
  <conditionalFormatting sqref="G3:G13">
    <cfRule type="containsText" dxfId="291" priority="1" operator="containsText" text="Reorder">
      <formula>NOT(ISERROR(SEARCH("Reorder",G3)))</formula>
    </cfRule>
  </conditionalFormatting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9"/>
  <sheetViews>
    <sheetView workbookViewId="0">
      <selection activeCell="E18" sqref="E18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7.42578125" style="2" customWidth="1"/>
    <col min="7" max="7" width="11.5703125" style="2" customWidth="1"/>
    <col min="8" max="16384" width="9.140625" style="2"/>
  </cols>
  <sheetData>
    <row r="1" spans="1:7" ht="44.25" customHeight="1" x14ac:dyDescent="0.25">
      <c r="A1" s="102" t="s">
        <v>359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19</v>
      </c>
      <c r="C2" s="5" t="s">
        <v>20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151</v>
      </c>
      <c r="B3" s="2">
        <v>250</v>
      </c>
      <c r="C3" s="2">
        <v>330</v>
      </c>
      <c r="D3" s="2">
        <v>3</v>
      </c>
      <c r="E3" s="2">
        <v>0</v>
      </c>
      <c r="F3" s="2">
        <f>D3-E3</f>
        <v>3</v>
      </c>
      <c r="G3" s="2" t="str">
        <f>IF(F3&lt;=1,"Reorder","Available")</f>
        <v>Available</v>
      </c>
    </row>
    <row r="4" spans="1:7" ht="15" customHeight="1" x14ac:dyDescent="0.25">
      <c r="A4" s="2" t="s">
        <v>5</v>
      </c>
      <c r="B4" s="2">
        <v>310</v>
      </c>
      <c r="C4" s="2">
        <v>350</v>
      </c>
      <c r="D4" s="2">
        <v>1</v>
      </c>
      <c r="E4" s="2">
        <v>0</v>
      </c>
      <c r="F4" s="2">
        <f t="shared" ref="F4:F9" si="0">D4-E4</f>
        <v>1</v>
      </c>
      <c r="G4" s="2" t="str">
        <f t="shared" ref="G4:G9" si="1">IF(F4&lt;=1,"Reorder","Available")</f>
        <v>Reorder</v>
      </c>
    </row>
    <row r="5" spans="1:7" ht="15" customHeight="1" x14ac:dyDescent="0.25">
      <c r="A5" s="2" t="s">
        <v>12</v>
      </c>
      <c r="B5" s="2">
        <v>260</v>
      </c>
      <c r="C5" s="2">
        <v>300</v>
      </c>
      <c r="D5" s="2">
        <v>4</v>
      </c>
      <c r="E5" s="2">
        <v>4</v>
      </c>
      <c r="F5" s="2">
        <f t="shared" si="0"/>
        <v>0</v>
      </c>
      <c r="G5" s="2" t="str">
        <f t="shared" si="1"/>
        <v>Reorder</v>
      </c>
    </row>
    <row r="6" spans="1:7" ht="15" customHeight="1" x14ac:dyDescent="0.25">
      <c r="A6" s="2" t="s">
        <v>109</v>
      </c>
      <c r="B6" s="2">
        <v>265</v>
      </c>
      <c r="C6" s="2">
        <v>355</v>
      </c>
      <c r="D6" s="2">
        <v>4</v>
      </c>
      <c r="E6" s="2">
        <v>0</v>
      </c>
      <c r="F6" s="2">
        <f t="shared" si="0"/>
        <v>4</v>
      </c>
      <c r="G6" s="2" t="str">
        <f t="shared" si="1"/>
        <v>Available</v>
      </c>
    </row>
    <row r="7" spans="1:7" ht="15" customHeight="1" x14ac:dyDescent="0.25">
      <c r="A7" s="2" t="s">
        <v>115</v>
      </c>
      <c r="B7" s="2">
        <v>240</v>
      </c>
      <c r="C7" s="2">
        <v>300</v>
      </c>
      <c r="D7" s="2">
        <v>2</v>
      </c>
      <c r="E7" s="2">
        <v>0</v>
      </c>
      <c r="F7" s="2">
        <f t="shared" si="0"/>
        <v>2</v>
      </c>
      <c r="G7" s="2" t="str">
        <f t="shared" si="1"/>
        <v>Available</v>
      </c>
    </row>
    <row r="8" spans="1:7" ht="15" customHeight="1" x14ac:dyDescent="0.25">
      <c r="A8" s="2" t="s">
        <v>118</v>
      </c>
      <c r="B8" s="2">
        <v>260</v>
      </c>
      <c r="C8" s="2">
        <v>300</v>
      </c>
      <c r="D8" s="2">
        <v>1</v>
      </c>
      <c r="E8" s="2">
        <v>0</v>
      </c>
      <c r="F8" s="2">
        <f t="shared" si="0"/>
        <v>1</v>
      </c>
      <c r="G8" s="2" t="str">
        <f t="shared" si="1"/>
        <v>Reorder</v>
      </c>
    </row>
    <row r="9" spans="1:7" ht="15" customHeight="1" x14ac:dyDescent="0.25">
      <c r="A9" s="2" t="s">
        <v>17</v>
      </c>
      <c r="B9" s="2">
        <v>280</v>
      </c>
      <c r="C9" s="2">
        <v>300</v>
      </c>
      <c r="D9" s="2">
        <v>3</v>
      </c>
      <c r="E9" s="2">
        <v>0</v>
      </c>
      <c r="F9" s="2">
        <f t="shared" si="0"/>
        <v>3</v>
      </c>
      <c r="G9" s="2" t="str">
        <f t="shared" si="1"/>
        <v>Available</v>
      </c>
    </row>
  </sheetData>
  <mergeCells count="1">
    <mergeCell ref="A1:E1"/>
  </mergeCells>
  <conditionalFormatting sqref="A1:E1 A4:A8 B4:B14 C4:C15 A3:E3 A2:C2 D4:E9">
    <cfRule type="expression" dxfId="290" priority="16">
      <formula>ROW()=CELL(ROW)</formula>
    </cfRule>
  </conditionalFormatting>
  <conditionalFormatting sqref="D2">
    <cfRule type="expression" dxfId="289" priority="15">
      <formula>ROW()=CELL(ROW)</formula>
    </cfRule>
  </conditionalFormatting>
  <conditionalFormatting sqref="G2">
    <cfRule type="containsText" dxfId="288" priority="14" operator="containsText" text="Reorder ">
      <formula>NOT(ISERROR(SEARCH("Reorder ",G2)))</formula>
    </cfRule>
  </conditionalFormatting>
  <conditionalFormatting sqref="G2">
    <cfRule type="containsText" dxfId="287" priority="13" operator="containsText" text="Reorder">
      <formula>NOT(ISERROR(SEARCH("Reorder",G2)))</formula>
    </cfRule>
  </conditionalFormatting>
  <conditionalFormatting sqref="G2">
    <cfRule type="containsText" dxfId="286" priority="12" operator="containsText" text="Reorder">
      <formula>NOT(ISERROR(SEARCH("Reorder",G2)))</formula>
    </cfRule>
  </conditionalFormatting>
  <conditionalFormatting sqref="G2">
    <cfRule type="containsText" dxfId="285" priority="11" operator="containsText" text="Reorder">
      <formula>NOT(ISERROR(SEARCH("Reorder",G2)))</formula>
    </cfRule>
  </conditionalFormatting>
  <conditionalFormatting sqref="G2">
    <cfRule type="containsText" dxfId="284" priority="10" operator="containsText" text="Reorder">
      <formula>NOT(ISERROR(SEARCH("Reorder",G2)))</formula>
    </cfRule>
  </conditionalFormatting>
  <conditionalFormatting sqref="G2">
    <cfRule type="containsText" dxfId="283" priority="9" operator="containsText" text="Reorder">
      <formula>NOT(ISERROR(SEARCH("Reorder",G2)))</formula>
    </cfRule>
  </conditionalFormatting>
  <conditionalFormatting sqref="G2">
    <cfRule type="containsText" dxfId="282" priority="8" operator="containsText" text="Reorder">
      <formula>NOT(ISERROR(SEARCH("Reorder",G2)))</formula>
    </cfRule>
  </conditionalFormatting>
  <conditionalFormatting sqref="G2">
    <cfRule type="containsText" dxfId="281" priority="7" operator="containsText" text="Reorder">
      <formula>NOT(ISERROR(SEARCH("Reorder",G2)))</formula>
    </cfRule>
  </conditionalFormatting>
  <conditionalFormatting sqref="G2">
    <cfRule type="containsText" dxfId="280" priority="6" operator="containsText" text="Reorder ">
      <formula>NOT(ISERROR(SEARCH("Reorder ",G2)))</formula>
    </cfRule>
  </conditionalFormatting>
  <conditionalFormatting sqref="G2">
    <cfRule type="containsText" dxfId="279" priority="5" operator="containsText" text="Reorder">
      <formula>NOT(ISERROR(SEARCH("Reorder",G2)))</formula>
    </cfRule>
  </conditionalFormatting>
  <conditionalFormatting sqref="G2">
    <cfRule type="containsText" dxfId="278" priority="4" operator="containsText" text="Reorder">
      <formula>NOT(ISERROR(SEARCH("Reorder",G2)))</formula>
    </cfRule>
  </conditionalFormatting>
  <conditionalFormatting sqref="G2">
    <cfRule type="containsText" dxfId="277" priority="3" operator="containsText" text="Reorder">
      <formula>NOT(ISERROR(SEARCH("Reorder",G2)))</formula>
    </cfRule>
  </conditionalFormatting>
  <conditionalFormatting sqref="G2">
    <cfRule type="containsText" dxfId="276" priority="2" operator="containsText" text="Reorder">
      <formula>NOT(ISERROR(SEARCH("Reorder",G2)))</formula>
    </cfRule>
  </conditionalFormatting>
  <conditionalFormatting sqref="G3:G9">
    <cfRule type="containsText" dxfId="275" priority="1" operator="containsText" text="Reorder">
      <formula>NOT(ISERROR(SEARCH("Reorder",G3)))</formula>
    </cfRule>
  </conditionalFormatting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5"/>
  <sheetViews>
    <sheetView workbookViewId="0">
      <selection activeCell="B14" sqref="B14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6.85546875" style="2" customWidth="1"/>
    <col min="7" max="7" width="11.42578125" style="2" bestFit="1" customWidth="1"/>
    <col min="8" max="16384" width="9.140625" style="2"/>
  </cols>
  <sheetData>
    <row r="1" spans="1:7" ht="44.25" customHeight="1" x14ac:dyDescent="0.25">
      <c r="A1" s="102" t="s">
        <v>360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19</v>
      </c>
      <c r="C2" s="5" t="s">
        <v>20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151</v>
      </c>
      <c r="B3" s="2">
        <v>70</v>
      </c>
      <c r="C3" s="2">
        <v>100</v>
      </c>
      <c r="D3" s="2">
        <v>5</v>
      </c>
      <c r="E3" s="2">
        <v>3</v>
      </c>
      <c r="F3" s="2">
        <f>D3-E3</f>
        <v>2</v>
      </c>
      <c r="G3" s="2" t="str">
        <f>IF(F3&lt;=2,"Reorder","Available")</f>
        <v>Reorder</v>
      </c>
    </row>
    <row r="4" spans="1:7" ht="15" customHeight="1" x14ac:dyDescent="0.25">
      <c r="A4" s="2" t="s">
        <v>361</v>
      </c>
      <c r="B4" s="2">
        <v>130</v>
      </c>
      <c r="C4" s="2">
        <v>180</v>
      </c>
      <c r="D4" s="2">
        <v>0</v>
      </c>
      <c r="E4" s="2">
        <v>0</v>
      </c>
      <c r="F4" s="2">
        <f t="shared" ref="F4:F15" si="0">D4-E4</f>
        <v>0</v>
      </c>
      <c r="G4" s="2" t="str">
        <f>IF(F4&lt;=2,"Reorder","Available")</f>
        <v>Reorder</v>
      </c>
    </row>
    <row r="5" spans="1:7" ht="15" customHeight="1" x14ac:dyDescent="0.25">
      <c r="A5" s="2" t="s">
        <v>5</v>
      </c>
      <c r="B5" s="2">
        <v>80</v>
      </c>
      <c r="C5" s="2">
        <v>100</v>
      </c>
      <c r="D5" s="2">
        <v>6</v>
      </c>
      <c r="E5" s="2">
        <v>6</v>
      </c>
      <c r="F5" s="2">
        <f t="shared" si="0"/>
        <v>0</v>
      </c>
      <c r="G5" s="2" t="str">
        <f t="shared" ref="G5:G15" si="1">IF(F5&lt;=2,"Reorder","Available")</f>
        <v>Reorder</v>
      </c>
    </row>
    <row r="6" spans="1:7" ht="15" customHeight="1" x14ac:dyDescent="0.25">
      <c r="A6" s="2" t="s">
        <v>956</v>
      </c>
      <c r="B6" s="2">
        <v>100</v>
      </c>
      <c r="C6" s="2">
        <v>150</v>
      </c>
      <c r="D6" s="2">
        <v>15</v>
      </c>
      <c r="E6" s="2">
        <v>0</v>
      </c>
      <c r="F6" s="2">
        <f t="shared" si="0"/>
        <v>15</v>
      </c>
      <c r="G6" s="2" t="str">
        <f t="shared" si="1"/>
        <v>Available</v>
      </c>
    </row>
    <row r="7" spans="1:7" ht="15" customHeight="1" x14ac:dyDescent="0.25">
      <c r="A7" s="2" t="s">
        <v>8</v>
      </c>
      <c r="B7" s="2">
        <v>80</v>
      </c>
      <c r="C7" s="2">
        <v>100</v>
      </c>
      <c r="D7" s="2">
        <v>0</v>
      </c>
      <c r="E7" s="2">
        <v>0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2" t="s">
        <v>992</v>
      </c>
      <c r="B8" s="2">
        <v>85</v>
      </c>
      <c r="C8" s="2">
        <v>100</v>
      </c>
      <c r="D8" s="2">
        <v>11</v>
      </c>
      <c r="E8" s="2">
        <v>6</v>
      </c>
      <c r="F8" s="2">
        <f t="shared" si="0"/>
        <v>5</v>
      </c>
      <c r="G8" s="2" t="str">
        <f t="shared" si="1"/>
        <v>Available</v>
      </c>
    </row>
    <row r="9" spans="1:7" ht="15" customHeight="1" x14ac:dyDescent="0.25">
      <c r="A9" s="2" t="s">
        <v>17</v>
      </c>
      <c r="B9" s="2">
        <v>60</v>
      </c>
      <c r="C9" s="2">
        <v>100</v>
      </c>
      <c r="D9" s="2">
        <v>7</v>
      </c>
      <c r="E9" s="2">
        <v>4</v>
      </c>
      <c r="F9" s="2">
        <f t="shared" si="0"/>
        <v>3</v>
      </c>
      <c r="G9" s="2" t="str">
        <f t="shared" si="1"/>
        <v>Available</v>
      </c>
    </row>
    <row r="10" spans="1:7" ht="15" customHeight="1" x14ac:dyDescent="0.25">
      <c r="A10" s="2" t="s">
        <v>957</v>
      </c>
      <c r="B10" s="2">
        <v>95</v>
      </c>
      <c r="C10" s="2">
        <v>150</v>
      </c>
      <c r="D10" s="2">
        <v>14</v>
      </c>
      <c r="E10" s="2">
        <v>4</v>
      </c>
      <c r="F10" s="2">
        <f t="shared" si="0"/>
        <v>10</v>
      </c>
      <c r="G10" s="2" t="str">
        <f t="shared" si="1"/>
        <v>Available</v>
      </c>
    </row>
    <row r="11" spans="1:7" ht="15" customHeight="1" x14ac:dyDescent="0.25">
      <c r="A11" s="2" t="s">
        <v>1031</v>
      </c>
      <c r="B11" s="2">
        <v>150</v>
      </c>
      <c r="C11" s="2">
        <v>200</v>
      </c>
      <c r="D11" s="2">
        <v>10</v>
      </c>
      <c r="E11" s="2">
        <v>2</v>
      </c>
      <c r="F11" s="2">
        <f t="shared" si="0"/>
        <v>8</v>
      </c>
      <c r="G11" s="2" t="str">
        <f t="shared" si="1"/>
        <v>Available</v>
      </c>
    </row>
    <row r="12" spans="1:7" ht="15" customHeight="1" x14ac:dyDescent="0.25">
      <c r="A12" s="2" t="s">
        <v>39</v>
      </c>
      <c r="B12" s="2">
        <v>100</v>
      </c>
      <c r="C12" s="2">
        <v>130</v>
      </c>
      <c r="D12" s="2">
        <v>6</v>
      </c>
      <c r="E12" s="2">
        <v>0</v>
      </c>
      <c r="F12" s="2">
        <f t="shared" si="0"/>
        <v>6</v>
      </c>
      <c r="G12" s="2" t="str">
        <f t="shared" si="1"/>
        <v>Available</v>
      </c>
    </row>
    <row r="13" spans="1:7" ht="15" customHeight="1" x14ac:dyDescent="0.25">
      <c r="A13" s="2" t="s">
        <v>1064</v>
      </c>
      <c r="B13" s="2">
        <v>95</v>
      </c>
      <c r="C13" s="2">
        <v>130</v>
      </c>
      <c r="D13" s="2">
        <v>16</v>
      </c>
      <c r="E13" s="2">
        <v>16</v>
      </c>
      <c r="F13" s="2">
        <f t="shared" si="0"/>
        <v>0</v>
      </c>
      <c r="G13" s="2" t="str">
        <f t="shared" si="1"/>
        <v>Reorder</v>
      </c>
    </row>
    <row r="14" spans="1:7" x14ac:dyDescent="0.25">
      <c r="A14" s="2" t="s">
        <v>297</v>
      </c>
      <c r="B14" s="2">
        <v>60</v>
      </c>
      <c r="C14" s="2">
        <v>100</v>
      </c>
      <c r="D14" s="2">
        <v>6</v>
      </c>
      <c r="E14" s="2">
        <v>1</v>
      </c>
      <c r="F14" s="2">
        <f t="shared" si="0"/>
        <v>5</v>
      </c>
      <c r="G14" s="2" t="str">
        <f t="shared" si="1"/>
        <v>Available</v>
      </c>
    </row>
    <row r="15" spans="1:7" x14ac:dyDescent="0.25">
      <c r="A15" s="2" t="s">
        <v>897</v>
      </c>
      <c r="B15" s="2">
        <v>95</v>
      </c>
      <c r="C15" s="2">
        <v>130</v>
      </c>
      <c r="D15" s="2">
        <v>18</v>
      </c>
      <c r="E15" s="2">
        <v>10</v>
      </c>
      <c r="F15" s="2">
        <f t="shared" si="0"/>
        <v>8</v>
      </c>
      <c r="G15" s="2" t="str">
        <f t="shared" si="1"/>
        <v>Available</v>
      </c>
    </row>
  </sheetData>
  <mergeCells count="1">
    <mergeCell ref="A1:E1"/>
  </mergeCells>
  <conditionalFormatting sqref="A1:E1 A5:A12 A3:E3 A2:C2 A4:C4 D4:E13 B5:B17 C5:C18">
    <cfRule type="expression" dxfId="274" priority="17">
      <formula>ROW()=CELL(ROW)</formula>
    </cfRule>
  </conditionalFormatting>
  <conditionalFormatting sqref="D2">
    <cfRule type="expression" dxfId="273" priority="16">
      <formula>ROW()=CELL(ROW)</formula>
    </cfRule>
  </conditionalFormatting>
  <conditionalFormatting sqref="G2">
    <cfRule type="containsText" dxfId="272" priority="15" operator="containsText" text="Reorder ">
      <formula>NOT(ISERROR(SEARCH("Reorder ",G2)))</formula>
    </cfRule>
  </conditionalFormatting>
  <conditionalFormatting sqref="G2">
    <cfRule type="containsText" dxfId="271" priority="14" operator="containsText" text="Reorder">
      <formula>NOT(ISERROR(SEARCH("Reorder",G2)))</formula>
    </cfRule>
  </conditionalFormatting>
  <conditionalFormatting sqref="G2">
    <cfRule type="containsText" dxfId="270" priority="13" operator="containsText" text="Reorder">
      <formula>NOT(ISERROR(SEARCH("Reorder",G2)))</formula>
    </cfRule>
  </conditionalFormatting>
  <conditionalFormatting sqref="G2">
    <cfRule type="containsText" dxfId="269" priority="12" operator="containsText" text="Reorder">
      <formula>NOT(ISERROR(SEARCH("Reorder",G2)))</formula>
    </cfRule>
  </conditionalFormatting>
  <conditionalFormatting sqref="G2">
    <cfRule type="containsText" dxfId="268" priority="11" operator="containsText" text="Reorder">
      <formula>NOT(ISERROR(SEARCH("Reorder",G2)))</formula>
    </cfRule>
  </conditionalFormatting>
  <conditionalFormatting sqref="G2">
    <cfRule type="containsText" dxfId="267" priority="10" operator="containsText" text="Reorder">
      <formula>NOT(ISERROR(SEARCH("Reorder",G2)))</formula>
    </cfRule>
  </conditionalFormatting>
  <conditionalFormatting sqref="G2">
    <cfRule type="containsText" dxfId="266" priority="9" operator="containsText" text="Reorder">
      <formula>NOT(ISERROR(SEARCH("Reorder",G2)))</formula>
    </cfRule>
  </conditionalFormatting>
  <conditionalFormatting sqref="G2">
    <cfRule type="containsText" dxfId="265" priority="8" operator="containsText" text="Reorder">
      <formula>NOT(ISERROR(SEARCH("Reorder",G2)))</formula>
    </cfRule>
  </conditionalFormatting>
  <conditionalFormatting sqref="G2">
    <cfRule type="containsText" dxfId="264" priority="7" operator="containsText" text="Reorder ">
      <formula>NOT(ISERROR(SEARCH("Reorder ",G2)))</formula>
    </cfRule>
  </conditionalFormatting>
  <conditionalFormatting sqref="G2">
    <cfRule type="containsText" dxfId="263" priority="6" operator="containsText" text="Reorder">
      <formula>NOT(ISERROR(SEARCH("Reorder",G2)))</formula>
    </cfRule>
  </conditionalFormatting>
  <conditionalFormatting sqref="G2">
    <cfRule type="containsText" dxfId="262" priority="5" operator="containsText" text="Reorder">
      <formula>NOT(ISERROR(SEARCH("Reorder",G2)))</formula>
    </cfRule>
  </conditionalFormatting>
  <conditionalFormatting sqref="G2">
    <cfRule type="containsText" dxfId="261" priority="4" operator="containsText" text="Reorder">
      <formula>NOT(ISERROR(SEARCH("Reorder",G2)))</formula>
    </cfRule>
  </conditionalFormatting>
  <conditionalFormatting sqref="G2">
    <cfRule type="containsText" dxfId="260" priority="3" operator="containsText" text="Reorder">
      <formula>NOT(ISERROR(SEARCH("Reorder",G2)))</formula>
    </cfRule>
  </conditionalFormatting>
  <conditionalFormatting sqref="G1:G1048576">
    <cfRule type="containsText" dxfId="259" priority="1" operator="containsText" text="Reorder">
      <formula>NOT(ISERROR(SEARCH("Reorder",G1)))</formula>
    </cfRule>
    <cfRule type="containsText" dxfId="258" priority="2" operator="containsText" text="Reorder ">
      <formula>NOT(ISERROR(SEARCH("Reorder ",G1)))</formula>
    </cfRule>
  </conditionalFormatting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20"/>
  <sheetViews>
    <sheetView zoomScaleNormal="100" workbookViewId="0">
      <selection activeCell="D16" sqref="D16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6.5703125" style="2" customWidth="1"/>
    <col min="7" max="7" width="11.5703125" style="2" customWidth="1"/>
    <col min="8" max="16384" width="9.140625" style="2"/>
  </cols>
  <sheetData>
    <row r="1" spans="1:7" ht="44.25" customHeight="1" x14ac:dyDescent="0.25">
      <c r="A1" s="102" t="s">
        <v>877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365</v>
      </c>
      <c r="C2" s="5" t="s">
        <v>366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364</v>
      </c>
      <c r="B3" s="2">
        <v>200</v>
      </c>
      <c r="C3" s="2">
        <v>300</v>
      </c>
      <c r="D3" s="2">
        <v>20</v>
      </c>
      <c r="E3" s="2">
        <v>8</v>
      </c>
      <c r="F3" s="2">
        <f>D3-E3</f>
        <v>12</v>
      </c>
      <c r="G3" s="2" t="str">
        <f>IF(F3&lt;=5,"Reorder","Available")</f>
        <v>Available</v>
      </c>
    </row>
    <row r="4" spans="1:7" ht="15" customHeight="1" x14ac:dyDescent="0.25">
      <c r="A4" s="2" t="s">
        <v>835</v>
      </c>
      <c r="B4" s="2">
        <v>200</v>
      </c>
      <c r="C4" s="2">
        <v>260</v>
      </c>
      <c r="D4" s="2">
        <v>2</v>
      </c>
      <c r="E4" s="2">
        <v>2</v>
      </c>
      <c r="F4" s="2">
        <f t="shared" ref="F4:F8" si="0">D4-E4</f>
        <v>0</v>
      </c>
      <c r="G4" s="2" t="str">
        <f>IF(F4&lt;=5,"Reorder","Available")</f>
        <v>Reorder</v>
      </c>
    </row>
    <row r="5" spans="1:7" ht="15" customHeight="1" x14ac:dyDescent="0.25">
      <c r="A5" s="2" t="s">
        <v>840</v>
      </c>
      <c r="B5" s="2">
        <v>220</v>
      </c>
      <c r="C5" s="2">
        <v>280</v>
      </c>
      <c r="D5" s="2">
        <v>25</v>
      </c>
      <c r="E5" s="2">
        <v>21</v>
      </c>
      <c r="F5" s="2">
        <f t="shared" si="0"/>
        <v>4</v>
      </c>
      <c r="G5" s="2" t="str">
        <f t="shared" ref="G5:G20" si="1">IF(F5&lt;=5,"Reorder","Available")</f>
        <v>Reorder</v>
      </c>
    </row>
    <row r="6" spans="1:7" ht="15" customHeight="1" x14ac:dyDescent="0.25">
      <c r="A6" s="2" t="s">
        <v>841</v>
      </c>
      <c r="B6" s="2">
        <v>220</v>
      </c>
      <c r="C6" s="2">
        <v>280</v>
      </c>
      <c r="D6" s="2">
        <v>5</v>
      </c>
      <c r="E6" s="2">
        <v>1</v>
      </c>
      <c r="F6" s="2">
        <f t="shared" si="0"/>
        <v>4</v>
      </c>
      <c r="G6" s="2" t="str">
        <f t="shared" si="1"/>
        <v>Reorder</v>
      </c>
    </row>
    <row r="7" spans="1:7" ht="15" customHeight="1" x14ac:dyDescent="0.25">
      <c r="A7" s="2" t="s">
        <v>12</v>
      </c>
      <c r="B7" s="2">
        <v>220</v>
      </c>
      <c r="C7" s="2">
        <v>280</v>
      </c>
      <c r="D7" s="2">
        <v>20</v>
      </c>
      <c r="E7" s="2">
        <v>12</v>
      </c>
      <c r="F7" s="2">
        <f t="shared" si="0"/>
        <v>8</v>
      </c>
      <c r="G7" s="2" t="str">
        <f t="shared" si="1"/>
        <v>Available</v>
      </c>
    </row>
    <row r="8" spans="1:7" ht="15" customHeight="1" x14ac:dyDescent="0.25">
      <c r="A8" s="2" t="s">
        <v>867</v>
      </c>
      <c r="B8" s="2">
        <v>240</v>
      </c>
      <c r="C8" s="2">
        <v>300</v>
      </c>
      <c r="D8" s="2">
        <v>4</v>
      </c>
      <c r="E8" s="2">
        <v>4</v>
      </c>
      <c r="F8" s="2">
        <f t="shared" si="0"/>
        <v>0</v>
      </c>
      <c r="G8" s="2" t="str">
        <f t="shared" si="1"/>
        <v>Reorder</v>
      </c>
    </row>
    <row r="9" spans="1:7" ht="15" customHeight="1" x14ac:dyDescent="0.25">
      <c r="A9" s="2" t="s">
        <v>109</v>
      </c>
      <c r="B9" s="2">
        <v>220</v>
      </c>
      <c r="C9" s="2">
        <v>280</v>
      </c>
      <c r="D9" s="2">
        <v>20</v>
      </c>
      <c r="E9" s="2">
        <v>0</v>
      </c>
      <c r="F9" s="2">
        <f t="shared" ref="F9:F19" si="2">D9-E9</f>
        <v>20</v>
      </c>
      <c r="G9" s="2" t="str">
        <f t="shared" si="1"/>
        <v>Available</v>
      </c>
    </row>
    <row r="10" spans="1:7" ht="15" customHeight="1" x14ac:dyDescent="0.25">
      <c r="A10" s="2" t="s">
        <v>836</v>
      </c>
      <c r="B10" s="2">
        <v>220</v>
      </c>
      <c r="C10" s="2">
        <v>280</v>
      </c>
      <c r="D10" s="2">
        <v>8</v>
      </c>
      <c r="E10" s="2">
        <v>8</v>
      </c>
      <c r="F10" s="2">
        <f t="shared" si="2"/>
        <v>0</v>
      </c>
      <c r="G10" s="2" t="str">
        <f t="shared" si="1"/>
        <v>Reorder</v>
      </c>
    </row>
    <row r="11" spans="1:7" ht="15" customHeight="1" x14ac:dyDescent="0.25">
      <c r="A11" s="2" t="s">
        <v>837</v>
      </c>
      <c r="B11" s="2">
        <v>220</v>
      </c>
      <c r="C11" s="2">
        <v>280</v>
      </c>
      <c r="D11" s="2">
        <v>20</v>
      </c>
      <c r="E11" s="2">
        <v>7</v>
      </c>
      <c r="F11" s="2">
        <f t="shared" si="2"/>
        <v>13</v>
      </c>
      <c r="G11" s="2" t="str">
        <f t="shared" si="1"/>
        <v>Available</v>
      </c>
    </row>
    <row r="12" spans="1:7" ht="15" customHeight="1" x14ac:dyDescent="0.25">
      <c r="A12" s="2" t="s">
        <v>838</v>
      </c>
      <c r="B12" s="2">
        <v>220</v>
      </c>
      <c r="C12" s="2">
        <v>280</v>
      </c>
      <c r="D12" s="2">
        <v>10</v>
      </c>
      <c r="E12" s="2">
        <v>5</v>
      </c>
      <c r="F12" s="2">
        <f t="shared" si="2"/>
        <v>5</v>
      </c>
      <c r="G12" s="2" t="str">
        <f t="shared" si="1"/>
        <v>Reorder</v>
      </c>
    </row>
    <row r="13" spans="1:7" ht="15" customHeight="1" x14ac:dyDescent="0.25">
      <c r="A13" s="2" t="s">
        <v>839</v>
      </c>
      <c r="B13" s="2">
        <v>220</v>
      </c>
      <c r="C13" s="2">
        <v>280</v>
      </c>
      <c r="D13" s="2">
        <v>10</v>
      </c>
      <c r="E13" s="2">
        <v>1</v>
      </c>
      <c r="F13" s="2">
        <f t="shared" si="2"/>
        <v>9</v>
      </c>
      <c r="G13" s="2" t="str">
        <f t="shared" si="1"/>
        <v>Available</v>
      </c>
    </row>
    <row r="14" spans="1:7" ht="15" customHeight="1" x14ac:dyDescent="0.25">
      <c r="A14" s="2" t="s">
        <v>866</v>
      </c>
      <c r="B14" s="2">
        <v>350</v>
      </c>
      <c r="C14" s="2">
        <v>450</v>
      </c>
      <c r="D14" s="2">
        <v>20</v>
      </c>
      <c r="E14" s="2">
        <v>5</v>
      </c>
      <c r="F14" s="2">
        <f t="shared" si="2"/>
        <v>15</v>
      </c>
      <c r="G14" s="2" t="str">
        <f t="shared" si="1"/>
        <v>Available</v>
      </c>
    </row>
    <row r="15" spans="1:7" ht="15" customHeight="1" x14ac:dyDescent="0.25">
      <c r="A15" s="2" t="s">
        <v>865</v>
      </c>
      <c r="B15" s="2">
        <v>350</v>
      </c>
      <c r="C15" s="2">
        <v>450</v>
      </c>
      <c r="D15" s="2">
        <v>4</v>
      </c>
      <c r="E15" s="2">
        <v>0</v>
      </c>
      <c r="F15" s="2">
        <f t="shared" si="2"/>
        <v>4</v>
      </c>
      <c r="G15" s="2" t="str">
        <f t="shared" si="1"/>
        <v>Reorder</v>
      </c>
    </row>
    <row r="16" spans="1:7" ht="15" customHeight="1" x14ac:dyDescent="0.25">
      <c r="A16" s="2" t="s">
        <v>118</v>
      </c>
      <c r="B16" s="2">
        <v>230</v>
      </c>
      <c r="C16" s="2">
        <v>280</v>
      </c>
      <c r="D16" s="2">
        <v>14</v>
      </c>
      <c r="E16" s="2">
        <v>14</v>
      </c>
      <c r="F16" s="2">
        <f t="shared" si="2"/>
        <v>0</v>
      </c>
      <c r="G16" s="2" t="str">
        <f t="shared" si="1"/>
        <v>Reorder</v>
      </c>
    </row>
    <row r="17" spans="1:7" x14ac:dyDescent="0.25">
      <c r="A17" s="2" t="s">
        <v>882</v>
      </c>
      <c r="B17" s="2">
        <v>500</v>
      </c>
      <c r="C17" s="2">
        <v>650</v>
      </c>
      <c r="D17" s="2">
        <v>5</v>
      </c>
      <c r="E17" s="2">
        <v>5</v>
      </c>
      <c r="F17" s="2">
        <v>0</v>
      </c>
      <c r="G17" s="2" t="str">
        <f t="shared" si="1"/>
        <v>Reorder</v>
      </c>
    </row>
    <row r="18" spans="1:7" x14ac:dyDescent="0.25">
      <c r="A18" s="2" t="s">
        <v>883</v>
      </c>
      <c r="B18" s="2">
        <v>500</v>
      </c>
      <c r="C18" s="2">
        <v>650</v>
      </c>
      <c r="D18" s="2">
        <v>14</v>
      </c>
      <c r="E18" s="2">
        <v>0</v>
      </c>
      <c r="F18" s="2">
        <f t="shared" si="2"/>
        <v>14</v>
      </c>
      <c r="G18" s="2" t="str">
        <f t="shared" si="1"/>
        <v>Available</v>
      </c>
    </row>
    <row r="19" spans="1:7" x14ac:dyDescent="0.25">
      <c r="A19" s="2" t="s">
        <v>218</v>
      </c>
      <c r="B19" s="2">
        <v>390</v>
      </c>
      <c r="C19" s="2">
        <v>500</v>
      </c>
      <c r="D19" s="2">
        <v>20</v>
      </c>
      <c r="E19" s="2">
        <v>5</v>
      </c>
      <c r="F19" s="2">
        <f t="shared" si="2"/>
        <v>15</v>
      </c>
      <c r="G19" s="2" t="str">
        <f t="shared" si="1"/>
        <v>Available</v>
      </c>
    </row>
    <row r="20" spans="1:7" x14ac:dyDescent="0.25">
      <c r="A20" s="2" t="s">
        <v>868</v>
      </c>
      <c r="B20" s="2">
        <v>460</v>
      </c>
      <c r="C20" s="2">
        <v>530</v>
      </c>
      <c r="D20" s="2">
        <v>14</v>
      </c>
      <c r="E20" s="2">
        <v>0</v>
      </c>
      <c r="F20" s="2">
        <f>D20-E20</f>
        <v>14</v>
      </c>
      <c r="G20" s="2" t="str">
        <f t="shared" si="1"/>
        <v>Available</v>
      </c>
    </row>
  </sheetData>
  <mergeCells count="1">
    <mergeCell ref="A1:E1"/>
  </mergeCells>
  <conditionalFormatting sqref="A1:E1 A9:A15 A2:C2 A5:C8 D5:E19 B9:B22 C9:C23 A3:E4">
    <cfRule type="expression" dxfId="257" priority="18">
      <formula>ROW()=CELL(ROW)</formula>
    </cfRule>
  </conditionalFormatting>
  <conditionalFormatting sqref="D2">
    <cfRule type="expression" dxfId="256" priority="17">
      <formula>ROW()=CELL(ROW)</formula>
    </cfRule>
  </conditionalFormatting>
  <conditionalFormatting sqref="G2">
    <cfRule type="containsText" dxfId="255" priority="16" operator="containsText" text="Reorder ">
      <formula>NOT(ISERROR(SEARCH("Reorder ",G2)))</formula>
    </cfRule>
  </conditionalFormatting>
  <conditionalFormatting sqref="G1:G1048576">
    <cfRule type="containsText" dxfId="254" priority="15" operator="containsText" text="Reorder">
      <formula>NOT(ISERROR(SEARCH("Reorder",G1)))</formula>
    </cfRule>
  </conditionalFormatting>
  <conditionalFormatting sqref="G2">
    <cfRule type="containsText" dxfId="253" priority="14" operator="containsText" text="Reorder">
      <formula>NOT(ISERROR(SEARCH("Reorder",G2)))</formula>
    </cfRule>
  </conditionalFormatting>
  <conditionalFormatting sqref="G2">
    <cfRule type="containsText" dxfId="252" priority="13" operator="containsText" text="Reorder">
      <formula>NOT(ISERROR(SEARCH("Reorder",G2)))</formula>
    </cfRule>
  </conditionalFormatting>
  <conditionalFormatting sqref="G2">
    <cfRule type="containsText" dxfId="251" priority="12" operator="containsText" text="Reorder">
      <formula>NOT(ISERROR(SEARCH("Reorder",G2)))</formula>
    </cfRule>
  </conditionalFormatting>
  <conditionalFormatting sqref="G2">
    <cfRule type="containsText" dxfId="250" priority="11" operator="containsText" text="Reorder">
      <formula>NOT(ISERROR(SEARCH("Reorder",G2)))</formula>
    </cfRule>
  </conditionalFormatting>
  <conditionalFormatting sqref="G2">
    <cfRule type="containsText" dxfId="249" priority="10" operator="containsText" text="Reorder">
      <formula>NOT(ISERROR(SEARCH("Reorder",G2)))</formula>
    </cfRule>
  </conditionalFormatting>
  <conditionalFormatting sqref="G2">
    <cfRule type="containsText" dxfId="248" priority="9" operator="containsText" text="Reorder">
      <formula>NOT(ISERROR(SEARCH("Reorder",G2)))</formula>
    </cfRule>
  </conditionalFormatting>
  <conditionalFormatting sqref="G2">
    <cfRule type="containsText" dxfId="247" priority="8" operator="containsText" text="Reorder ">
      <formula>NOT(ISERROR(SEARCH("Reorder ",G2)))</formula>
    </cfRule>
  </conditionalFormatting>
  <conditionalFormatting sqref="G2">
    <cfRule type="containsText" dxfId="246" priority="7" operator="containsText" text="Reorder">
      <formula>NOT(ISERROR(SEARCH("Reorder",G2)))</formula>
    </cfRule>
  </conditionalFormatting>
  <conditionalFormatting sqref="G2">
    <cfRule type="containsText" dxfId="245" priority="6" operator="containsText" text="Reorder">
      <formula>NOT(ISERROR(SEARCH("Reorder",G2)))</formula>
    </cfRule>
  </conditionalFormatting>
  <conditionalFormatting sqref="G2">
    <cfRule type="containsText" dxfId="244" priority="5" operator="containsText" text="Reorder">
      <formula>NOT(ISERROR(SEARCH("Reorder",G2)))</formula>
    </cfRule>
  </conditionalFormatting>
  <conditionalFormatting sqref="G2">
    <cfRule type="containsText" dxfId="243" priority="4" operator="containsText" text="Reorder">
      <formula>NOT(ISERROR(SEARCH("Reorder",G2)))</formula>
    </cfRule>
  </conditionalFormatting>
  <conditionalFormatting sqref="G2">
    <cfRule type="containsText" dxfId="242" priority="2" operator="containsText" text="Reorder">
      <formula>NOT(ISERROR(SEARCH("Reorder",G2)))</formula>
    </cfRule>
    <cfRule type="containsText" dxfId="241" priority="3" operator="containsText" text="Reorder ">
      <formula>NOT(ISERROR(SEARCH("Reorder ",G2)))</formula>
    </cfRule>
  </conditionalFormatting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5"/>
  <sheetViews>
    <sheetView workbookViewId="0">
      <selection activeCell="D10" sqref="D10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7.5703125" style="2" customWidth="1"/>
    <col min="7" max="7" width="12.140625" style="2" customWidth="1"/>
    <col min="8" max="16384" width="9.140625" style="2"/>
  </cols>
  <sheetData>
    <row r="1" spans="1:7" ht="44.25" customHeight="1" x14ac:dyDescent="0.25">
      <c r="A1" s="102" t="s">
        <v>367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60</v>
      </c>
      <c r="C2" s="5" t="s">
        <v>363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151</v>
      </c>
      <c r="B3" s="2">
        <v>195</v>
      </c>
      <c r="C3" s="2">
        <v>230</v>
      </c>
      <c r="D3" s="2">
        <v>4</v>
      </c>
      <c r="E3" s="2">
        <v>4</v>
      </c>
      <c r="F3" s="2">
        <f>D3-E3</f>
        <v>0</v>
      </c>
      <c r="G3" s="2" t="str">
        <f>IF(F3&lt;=1,"Reorder","Available")</f>
        <v>Reorder</v>
      </c>
    </row>
    <row r="4" spans="1:7" ht="15" customHeight="1" x14ac:dyDescent="0.25">
      <c r="A4" s="2" t="s">
        <v>5</v>
      </c>
      <c r="B4" s="2">
        <v>195</v>
      </c>
      <c r="C4" s="2">
        <v>230</v>
      </c>
      <c r="D4" s="2">
        <v>3</v>
      </c>
      <c r="E4" s="2">
        <v>2</v>
      </c>
      <c r="F4" s="2">
        <f t="shared" ref="F4:F15" si="0">D4-E4</f>
        <v>1</v>
      </c>
      <c r="G4" s="2" t="str">
        <f t="shared" ref="G4:G15" si="1">IF(F4&lt;=1,"Reorder","Available")</f>
        <v>Reorder</v>
      </c>
    </row>
    <row r="5" spans="1:7" ht="15" customHeight="1" x14ac:dyDescent="0.25">
      <c r="A5" s="2" t="s">
        <v>368</v>
      </c>
      <c r="B5" s="2">
        <v>210</v>
      </c>
      <c r="C5" s="2">
        <v>280</v>
      </c>
      <c r="D5" s="2">
        <v>0</v>
      </c>
      <c r="E5" s="2">
        <v>0</v>
      </c>
      <c r="F5" s="2">
        <f t="shared" si="0"/>
        <v>0</v>
      </c>
      <c r="G5" s="2" t="str">
        <f t="shared" si="1"/>
        <v>Reorder</v>
      </c>
    </row>
    <row r="6" spans="1:7" ht="15" customHeight="1" x14ac:dyDescent="0.25">
      <c r="A6" s="2" t="s">
        <v>369</v>
      </c>
      <c r="B6" s="2">
        <v>195</v>
      </c>
      <c r="C6" s="2">
        <v>230</v>
      </c>
      <c r="D6" s="2">
        <v>2</v>
      </c>
      <c r="E6" s="2">
        <v>0</v>
      </c>
      <c r="F6" s="2">
        <f t="shared" si="0"/>
        <v>2</v>
      </c>
      <c r="G6" s="2" t="str">
        <f t="shared" si="1"/>
        <v>Available</v>
      </c>
    </row>
    <row r="7" spans="1:7" ht="15" customHeight="1" x14ac:dyDescent="0.25">
      <c r="A7" s="2" t="s">
        <v>48</v>
      </c>
      <c r="B7" s="2">
        <v>195</v>
      </c>
      <c r="C7" s="2">
        <v>230</v>
      </c>
      <c r="D7" s="2">
        <v>8</v>
      </c>
      <c r="E7" s="2">
        <v>1</v>
      </c>
      <c r="F7" s="2">
        <f t="shared" si="0"/>
        <v>7</v>
      </c>
      <c r="G7" s="2" t="str">
        <f t="shared" si="1"/>
        <v>Available</v>
      </c>
    </row>
    <row r="8" spans="1:7" ht="15" customHeight="1" x14ac:dyDescent="0.25">
      <c r="A8" s="2" t="s">
        <v>111</v>
      </c>
      <c r="B8" s="2">
        <v>185</v>
      </c>
      <c r="C8" s="2">
        <v>230</v>
      </c>
      <c r="D8" s="2">
        <v>3</v>
      </c>
      <c r="E8" s="2">
        <v>0</v>
      </c>
      <c r="F8" s="2">
        <f t="shared" si="0"/>
        <v>3</v>
      </c>
      <c r="G8" s="2" t="str">
        <f t="shared" si="1"/>
        <v>Available</v>
      </c>
    </row>
    <row r="9" spans="1:7" ht="15" customHeight="1" x14ac:dyDescent="0.25">
      <c r="A9" s="2" t="s">
        <v>242</v>
      </c>
      <c r="B9" s="2">
        <v>195</v>
      </c>
      <c r="C9" s="2">
        <v>230</v>
      </c>
      <c r="D9" s="2">
        <v>4</v>
      </c>
      <c r="E9" s="2">
        <v>4</v>
      </c>
      <c r="F9" s="2">
        <f t="shared" si="0"/>
        <v>0</v>
      </c>
      <c r="G9" s="2" t="str">
        <f t="shared" si="1"/>
        <v>Reorder</v>
      </c>
    </row>
    <row r="10" spans="1:7" ht="15" customHeight="1" x14ac:dyDescent="0.25">
      <c r="A10" s="2" t="s">
        <v>226</v>
      </c>
      <c r="B10" s="2">
        <v>195</v>
      </c>
      <c r="C10" s="2">
        <v>230</v>
      </c>
      <c r="D10" s="2">
        <v>4</v>
      </c>
      <c r="E10" s="2">
        <v>0</v>
      </c>
      <c r="F10" s="2">
        <f t="shared" si="0"/>
        <v>4</v>
      </c>
      <c r="G10" s="2" t="str">
        <f t="shared" si="1"/>
        <v>Available</v>
      </c>
    </row>
    <row r="11" spans="1:7" x14ac:dyDescent="0.25">
      <c r="A11" s="2" t="s">
        <v>370</v>
      </c>
      <c r="B11" s="2">
        <v>195</v>
      </c>
      <c r="C11" s="2">
        <v>230</v>
      </c>
      <c r="D11" s="2">
        <v>10</v>
      </c>
      <c r="E11" s="2">
        <v>3</v>
      </c>
      <c r="F11" s="2">
        <f t="shared" si="0"/>
        <v>7</v>
      </c>
      <c r="G11" s="2" t="str">
        <f t="shared" si="1"/>
        <v>Available</v>
      </c>
    </row>
    <row r="12" spans="1:7" x14ac:dyDescent="0.25">
      <c r="A12" s="2" t="s">
        <v>17</v>
      </c>
      <c r="B12" s="2">
        <v>195</v>
      </c>
      <c r="C12" s="2">
        <v>230</v>
      </c>
      <c r="D12" s="2">
        <v>2</v>
      </c>
      <c r="E12" s="2">
        <v>0</v>
      </c>
      <c r="F12" s="2">
        <f t="shared" si="0"/>
        <v>2</v>
      </c>
      <c r="G12" s="2" t="str">
        <f t="shared" si="1"/>
        <v>Available</v>
      </c>
    </row>
    <row r="13" spans="1:7" x14ac:dyDescent="0.25">
      <c r="A13" s="2" t="s">
        <v>118</v>
      </c>
      <c r="B13" s="2">
        <v>195</v>
      </c>
      <c r="C13" s="2">
        <v>230</v>
      </c>
      <c r="D13" s="2">
        <v>2</v>
      </c>
      <c r="E13" s="2">
        <v>0</v>
      </c>
      <c r="F13" s="2">
        <f t="shared" si="0"/>
        <v>2</v>
      </c>
      <c r="G13" s="2" t="str">
        <f t="shared" si="1"/>
        <v>Available</v>
      </c>
    </row>
    <row r="14" spans="1:7" x14ac:dyDescent="0.25">
      <c r="A14" s="2" t="s">
        <v>371</v>
      </c>
      <c r="B14" s="2">
        <v>195</v>
      </c>
      <c r="C14" s="2">
        <v>230</v>
      </c>
      <c r="D14" s="2">
        <v>3</v>
      </c>
      <c r="E14" s="2">
        <v>0</v>
      </c>
      <c r="F14" s="2">
        <f t="shared" si="0"/>
        <v>3</v>
      </c>
      <c r="G14" s="2" t="str">
        <f t="shared" si="1"/>
        <v>Available</v>
      </c>
    </row>
    <row r="15" spans="1:7" x14ac:dyDescent="0.25">
      <c r="A15" s="2" t="s">
        <v>372</v>
      </c>
      <c r="B15" s="2">
        <v>195</v>
      </c>
      <c r="C15" s="2">
        <v>230</v>
      </c>
      <c r="D15" s="2">
        <v>3</v>
      </c>
      <c r="E15" s="2">
        <v>0</v>
      </c>
      <c r="F15" s="2">
        <f t="shared" si="0"/>
        <v>3</v>
      </c>
      <c r="G15" s="2" t="str">
        <f t="shared" si="1"/>
        <v>Available</v>
      </c>
    </row>
  </sheetData>
  <mergeCells count="1">
    <mergeCell ref="A1:E1"/>
  </mergeCells>
  <conditionalFormatting sqref="A1:E1 A5:A9 A4:C4 B5:B15 C4:C16 A3:E3 A2:C2 D4:E15">
    <cfRule type="expression" dxfId="240" priority="11">
      <formula>ROW()=CELL(ROW)</formula>
    </cfRule>
  </conditionalFormatting>
  <conditionalFormatting sqref="D2">
    <cfRule type="expression" dxfId="239" priority="10">
      <formula>ROW()=CELL(ROW)</formula>
    </cfRule>
  </conditionalFormatting>
  <conditionalFormatting sqref="G2">
    <cfRule type="containsText" dxfId="238" priority="9" operator="containsText" text="Reorder ">
      <formula>NOT(ISERROR(SEARCH("Reorder ",G2)))</formula>
    </cfRule>
  </conditionalFormatting>
  <conditionalFormatting sqref="G2">
    <cfRule type="containsText" dxfId="237" priority="8" operator="containsText" text="Reorder">
      <formula>NOT(ISERROR(SEARCH("Reorder",G2)))</formula>
    </cfRule>
  </conditionalFormatting>
  <conditionalFormatting sqref="G2">
    <cfRule type="containsText" dxfId="236" priority="7" operator="containsText" text="Reorder">
      <formula>NOT(ISERROR(SEARCH("Reorder",G2)))</formula>
    </cfRule>
  </conditionalFormatting>
  <conditionalFormatting sqref="G2">
    <cfRule type="containsText" dxfId="235" priority="6" operator="containsText" text="Reorder">
      <formula>NOT(ISERROR(SEARCH("Reorder",G2)))</formula>
    </cfRule>
  </conditionalFormatting>
  <conditionalFormatting sqref="G2">
    <cfRule type="containsText" dxfId="234" priority="5" operator="containsText" text="Reorder">
      <formula>NOT(ISERROR(SEARCH("Reorder",G2)))</formula>
    </cfRule>
  </conditionalFormatting>
  <conditionalFormatting sqref="G2">
    <cfRule type="containsText" dxfId="233" priority="4" operator="containsText" text="Reorder">
      <formula>NOT(ISERROR(SEARCH("Reorder",G2)))</formula>
    </cfRule>
  </conditionalFormatting>
  <conditionalFormatting sqref="G2">
    <cfRule type="containsText" dxfId="232" priority="3" operator="containsText" text="Reorder">
      <formula>NOT(ISERROR(SEARCH("Reorder",G2)))</formula>
    </cfRule>
  </conditionalFormatting>
  <conditionalFormatting sqref="G2">
    <cfRule type="containsText" dxfId="231" priority="2" operator="containsText" text="Reorder">
      <formula>NOT(ISERROR(SEARCH("Reorder",G2)))</formula>
    </cfRule>
  </conditionalFormatting>
  <conditionalFormatting sqref="G3:G15">
    <cfRule type="containsText" dxfId="230" priority="1" operator="containsText" text="Reorder">
      <formula>NOT(ISERROR(SEARCH("Reorder",G3)))</formula>
    </cfRule>
  </conditionalFormatting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27"/>
  <sheetViews>
    <sheetView topLeftCell="A16" workbookViewId="0">
      <selection activeCell="D7" sqref="D7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7.42578125" style="2" customWidth="1"/>
    <col min="7" max="7" width="12.85546875" style="2" customWidth="1"/>
    <col min="8" max="16384" width="9.140625" style="2"/>
  </cols>
  <sheetData>
    <row r="1" spans="1:7" ht="44.25" customHeight="1" x14ac:dyDescent="0.25">
      <c r="A1" s="102" t="s">
        <v>863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60</v>
      </c>
      <c r="C2" s="5" t="s">
        <v>363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373</v>
      </c>
      <c r="B3" s="2">
        <v>825</v>
      </c>
      <c r="C3" s="2">
        <v>900</v>
      </c>
      <c r="D3" s="2">
        <v>5</v>
      </c>
      <c r="E3" s="2">
        <v>3</v>
      </c>
      <c r="F3" s="2">
        <f>D3-E3</f>
        <v>2</v>
      </c>
      <c r="G3" s="2" t="str">
        <f>IF(F3&lt;=1,"Reorder","Available")</f>
        <v>Available</v>
      </c>
    </row>
    <row r="4" spans="1:7" ht="15" customHeight="1" x14ac:dyDescent="0.25">
      <c r="A4" s="2" t="s">
        <v>374</v>
      </c>
      <c r="B4" s="2">
        <v>740</v>
      </c>
      <c r="C4" s="2">
        <v>850</v>
      </c>
      <c r="D4" s="2">
        <v>4</v>
      </c>
      <c r="E4" s="2">
        <v>2</v>
      </c>
      <c r="F4" s="2">
        <f t="shared" ref="F4:F18" si="0">D4-E4</f>
        <v>2</v>
      </c>
      <c r="G4" s="2" t="str">
        <f t="shared" ref="G4:G18" si="1">IF(F4&lt;=1,"Reorder","Available")</f>
        <v>Available</v>
      </c>
    </row>
    <row r="5" spans="1:7" ht="15" customHeight="1" x14ac:dyDescent="0.25">
      <c r="A5" s="2" t="s">
        <v>375</v>
      </c>
      <c r="B5" s="2">
        <v>850</v>
      </c>
      <c r="C5" s="2">
        <v>900</v>
      </c>
      <c r="D5" s="2">
        <v>2</v>
      </c>
      <c r="E5" s="2">
        <v>2</v>
      </c>
      <c r="F5" s="2">
        <f t="shared" si="0"/>
        <v>0</v>
      </c>
      <c r="G5" s="2" t="str">
        <f t="shared" si="1"/>
        <v>Reorder</v>
      </c>
    </row>
    <row r="6" spans="1:7" ht="15" customHeight="1" x14ac:dyDescent="0.25">
      <c r="A6" s="2" t="s">
        <v>583</v>
      </c>
      <c r="B6" s="2">
        <v>250</v>
      </c>
      <c r="C6" s="2">
        <v>300</v>
      </c>
      <c r="D6" s="2">
        <v>5</v>
      </c>
      <c r="E6" s="2">
        <v>5</v>
      </c>
      <c r="F6" s="2">
        <f t="shared" si="0"/>
        <v>0</v>
      </c>
      <c r="G6" s="2" t="str">
        <f t="shared" si="1"/>
        <v>Reorder</v>
      </c>
    </row>
    <row r="7" spans="1:7" ht="15" customHeight="1" x14ac:dyDescent="0.25">
      <c r="A7" s="2" t="s">
        <v>377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2" t="s">
        <v>376</v>
      </c>
      <c r="B8" s="2">
        <v>130</v>
      </c>
      <c r="C8" s="2">
        <v>150</v>
      </c>
      <c r="D8" s="2">
        <v>1</v>
      </c>
      <c r="E8" s="2">
        <v>0</v>
      </c>
      <c r="F8" s="2">
        <f t="shared" si="0"/>
        <v>1</v>
      </c>
      <c r="G8" s="2" t="str">
        <f t="shared" si="1"/>
        <v>Reorder</v>
      </c>
    </row>
    <row r="9" spans="1:7" ht="15" customHeight="1" x14ac:dyDescent="0.25">
      <c r="A9" s="2" t="s">
        <v>49</v>
      </c>
      <c r="B9" s="2">
        <v>130</v>
      </c>
      <c r="C9" s="2">
        <v>150</v>
      </c>
      <c r="D9" s="2">
        <v>1</v>
      </c>
      <c r="E9" s="2">
        <v>0</v>
      </c>
      <c r="F9" s="2">
        <f t="shared" si="0"/>
        <v>1</v>
      </c>
      <c r="G9" s="2" t="str">
        <f t="shared" si="1"/>
        <v>Reorder</v>
      </c>
    </row>
    <row r="10" spans="1:7" ht="15" customHeight="1" x14ac:dyDescent="0.25">
      <c r="A10" s="2" t="s">
        <v>48</v>
      </c>
      <c r="B10" s="2">
        <v>130</v>
      </c>
      <c r="C10" s="2">
        <v>150</v>
      </c>
      <c r="D10" s="2">
        <v>10</v>
      </c>
      <c r="E10" s="2">
        <v>2</v>
      </c>
      <c r="F10" s="2">
        <f>D10-E10</f>
        <v>8</v>
      </c>
      <c r="G10" s="2" t="str">
        <f t="shared" si="1"/>
        <v>Available</v>
      </c>
    </row>
    <row r="11" spans="1:7" ht="15" customHeight="1" x14ac:dyDescent="0.25">
      <c r="A11" s="2" t="s">
        <v>378</v>
      </c>
      <c r="B11" s="2">
        <v>135</v>
      </c>
      <c r="C11" s="2">
        <v>150</v>
      </c>
      <c r="D11" s="2">
        <v>10</v>
      </c>
      <c r="E11" s="2">
        <v>6</v>
      </c>
      <c r="F11" s="2">
        <f t="shared" si="0"/>
        <v>4</v>
      </c>
      <c r="G11" s="2" t="str">
        <f t="shared" si="1"/>
        <v>Available</v>
      </c>
    </row>
    <row r="12" spans="1:7" x14ac:dyDescent="0.25">
      <c r="A12" s="2" t="s">
        <v>842</v>
      </c>
      <c r="B12" s="2">
        <v>130</v>
      </c>
      <c r="C12" s="2">
        <v>150</v>
      </c>
      <c r="D12" s="2">
        <v>5</v>
      </c>
      <c r="E12" s="2">
        <v>0</v>
      </c>
      <c r="F12" s="2">
        <f t="shared" si="0"/>
        <v>5</v>
      </c>
      <c r="G12" s="2" t="str">
        <f t="shared" si="1"/>
        <v>Available</v>
      </c>
    </row>
    <row r="13" spans="1:7" x14ac:dyDescent="0.25">
      <c r="A13" s="2" t="s">
        <v>379</v>
      </c>
      <c r="B13" s="2">
        <v>130</v>
      </c>
      <c r="C13" s="2">
        <v>150</v>
      </c>
      <c r="D13" s="2">
        <v>2</v>
      </c>
      <c r="E13" s="2">
        <v>1</v>
      </c>
      <c r="F13" s="2">
        <f t="shared" si="0"/>
        <v>1</v>
      </c>
      <c r="G13" s="2" t="str">
        <f t="shared" si="1"/>
        <v>Reorder</v>
      </c>
    </row>
    <row r="14" spans="1:7" x14ac:dyDescent="0.25">
      <c r="A14" s="2" t="s">
        <v>115</v>
      </c>
      <c r="B14" s="2">
        <v>130</v>
      </c>
      <c r="C14" s="2">
        <v>150</v>
      </c>
      <c r="D14" s="2">
        <v>5</v>
      </c>
      <c r="E14" s="2">
        <v>1</v>
      </c>
      <c r="F14" s="2">
        <f t="shared" si="0"/>
        <v>4</v>
      </c>
      <c r="G14" s="2" t="str">
        <f t="shared" si="1"/>
        <v>Available</v>
      </c>
    </row>
    <row r="15" spans="1:7" x14ac:dyDescent="0.25">
      <c r="A15" s="2" t="s">
        <v>380</v>
      </c>
      <c r="B15" s="2">
        <v>130</v>
      </c>
      <c r="C15" s="2">
        <v>150</v>
      </c>
      <c r="D15" s="2">
        <v>0</v>
      </c>
      <c r="E15" s="2">
        <v>0</v>
      </c>
      <c r="F15" s="2">
        <f t="shared" si="0"/>
        <v>0</v>
      </c>
      <c r="G15" s="2" t="str">
        <f t="shared" si="1"/>
        <v>Reorder</v>
      </c>
    </row>
    <row r="16" spans="1:7" x14ac:dyDescent="0.25">
      <c r="A16" s="2" t="s">
        <v>50</v>
      </c>
      <c r="B16" s="2">
        <v>150</v>
      </c>
      <c r="C16" s="2">
        <v>200</v>
      </c>
      <c r="D16" s="2">
        <v>5</v>
      </c>
      <c r="E16" s="2">
        <v>3</v>
      </c>
      <c r="F16" s="2">
        <f t="shared" si="0"/>
        <v>2</v>
      </c>
      <c r="G16" s="2" t="str">
        <f t="shared" si="1"/>
        <v>Available</v>
      </c>
    </row>
    <row r="17" spans="1:7" x14ac:dyDescent="0.25">
      <c r="A17" s="2" t="s">
        <v>232</v>
      </c>
      <c r="B17" s="2">
        <v>130</v>
      </c>
      <c r="C17" s="2">
        <v>150</v>
      </c>
      <c r="D17" s="2">
        <v>3</v>
      </c>
      <c r="E17" s="2">
        <v>1</v>
      </c>
      <c r="F17" s="2">
        <f t="shared" si="0"/>
        <v>2</v>
      </c>
      <c r="G17" s="2" t="str">
        <f t="shared" si="1"/>
        <v>Available</v>
      </c>
    </row>
    <row r="18" spans="1:7" x14ac:dyDescent="0.25">
      <c r="A18" s="2" t="s">
        <v>597</v>
      </c>
      <c r="B18" s="2">
        <v>630</v>
      </c>
      <c r="C18" s="2">
        <v>750</v>
      </c>
      <c r="D18" s="2">
        <v>0</v>
      </c>
      <c r="E18" s="2">
        <v>0</v>
      </c>
      <c r="F18" s="2">
        <f t="shared" si="0"/>
        <v>0</v>
      </c>
      <c r="G18" s="2" t="str">
        <f t="shared" si="1"/>
        <v>Reorder</v>
      </c>
    </row>
    <row r="19" spans="1:7" ht="44.25" customHeight="1" x14ac:dyDescent="0.25">
      <c r="A19" s="102" t="s">
        <v>381</v>
      </c>
      <c r="B19" s="72"/>
      <c r="C19" s="72"/>
      <c r="D19" s="72"/>
      <c r="E19" s="72"/>
    </row>
    <row r="20" spans="1:7" s="7" customFormat="1" ht="61.5" customHeight="1" x14ac:dyDescent="0.25">
      <c r="A20" s="4" t="s">
        <v>3</v>
      </c>
      <c r="B20" s="5" t="s">
        <v>60</v>
      </c>
      <c r="C20" s="5" t="s">
        <v>363</v>
      </c>
      <c r="D20" s="5" t="s">
        <v>680</v>
      </c>
      <c r="E20" s="5" t="s">
        <v>681</v>
      </c>
      <c r="F20" s="5" t="s">
        <v>641</v>
      </c>
      <c r="G20" s="5" t="s">
        <v>638</v>
      </c>
    </row>
    <row r="21" spans="1:7" x14ac:dyDescent="0.25">
      <c r="A21" s="2" t="s">
        <v>156</v>
      </c>
      <c r="B21" s="2">
        <v>100</v>
      </c>
      <c r="C21" s="2">
        <v>140</v>
      </c>
      <c r="D21" s="2">
        <v>6</v>
      </c>
      <c r="E21" s="2">
        <v>1</v>
      </c>
      <c r="F21" s="2">
        <f>D21-E21</f>
        <v>5</v>
      </c>
      <c r="G21" s="2" t="str">
        <f>IF(F21&lt;=2,"Reorder","Available")</f>
        <v>Available</v>
      </c>
    </row>
    <row r="22" spans="1:7" x14ac:dyDescent="0.25">
      <c r="A22" s="2" t="s">
        <v>49</v>
      </c>
      <c r="B22" s="2">
        <v>100</v>
      </c>
      <c r="C22" s="2">
        <v>140</v>
      </c>
      <c r="D22" s="2">
        <v>10</v>
      </c>
      <c r="E22" s="2">
        <v>0</v>
      </c>
      <c r="F22" s="2">
        <f t="shared" ref="F22:F27" si="2">D22-E22</f>
        <v>10</v>
      </c>
      <c r="G22" s="2" t="str">
        <f t="shared" ref="G22:G27" si="3">IF(F22&lt;=2,"Reorder","Available")</f>
        <v>Available</v>
      </c>
    </row>
    <row r="23" spans="1:7" x14ac:dyDescent="0.25">
      <c r="A23" s="2" t="s">
        <v>48</v>
      </c>
      <c r="B23" s="2">
        <v>110</v>
      </c>
      <c r="C23" s="2">
        <v>150</v>
      </c>
      <c r="D23" s="2">
        <v>5</v>
      </c>
      <c r="E23" s="2">
        <v>4</v>
      </c>
      <c r="F23" s="2">
        <f t="shared" si="2"/>
        <v>1</v>
      </c>
      <c r="G23" s="2" t="str">
        <f t="shared" si="3"/>
        <v>Reorder</v>
      </c>
    </row>
    <row r="24" spans="1:7" x14ac:dyDescent="0.25">
      <c r="A24" s="2" t="s">
        <v>383</v>
      </c>
      <c r="B24" s="2">
        <v>100</v>
      </c>
      <c r="C24" s="2">
        <v>140</v>
      </c>
      <c r="D24" s="2">
        <v>4</v>
      </c>
      <c r="E24" s="2">
        <v>1</v>
      </c>
      <c r="F24" s="2">
        <f t="shared" si="2"/>
        <v>3</v>
      </c>
      <c r="G24" s="2" t="str">
        <f t="shared" si="3"/>
        <v>Available</v>
      </c>
    </row>
    <row r="25" spans="1:7" x14ac:dyDescent="0.25">
      <c r="A25" s="2" t="s">
        <v>111</v>
      </c>
      <c r="B25" s="2">
        <v>100</v>
      </c>
      <c r="C25" s="2">
        <v>140</v>
      </c>
      <c r="D25" s="2">
        <v>2</v>
      </c>
      <c r="E25" s="2">
        <v>0</v>
      </c>
      <c r="F25" s="2">
        <f t="shared" si="2"/>
        <v>2</v>
      </c>
      <c r="G25" s="2" t="str">
        <f>IF(F25&lt;=2,"Reorder","Available")</f>
        <v>Reorder</v>
      </c>
    </row>
    <row r="26" spans="1:7" x14ac:dyDescent="0.25">
      <c r="A26" s="2" t="s">
        <v>384</v>
      </c>
      <c r="B26" s="2">
        <v>110</v>
      </c>
      <c r="C26" s="2">
        <v>140</v>
      </c>
      <c r="D26" s="2">
        <v>13</v>
      </c>
      <c r="E26" s="2">
        <v>0</v>
      </c>
      <c r="F26" s="2">
        <f t="shared" si="2"/>
        <v>13</v>
      </c>
      <c r="G26" s="2" t="str">
        <f t="shared" si="3"/>
        <v>Available</v>
      </c>
    </row>
    <row r="27" spans="1:7" x14ac:dyDescent="0.25">
      <c r="A27" s="2" t="s">
        <v>385</v>
      </c>
      <c r="B27" s="2">
        <v>100</v>
      </c>
      <c r="C27" s="2">
        <v>140</v>
      </c>
      <c r="D27" s="2">
        <v>5</v>
      </c>
      <c r="E27" s="2">
        <v>4</v>
      </c>
      <c r="F27" s="2">
        <f t="shared" si="2"/>
        <v>1</v>
      </c>
      <c r="G27" s="2" t="str">
        <f t="shared" si="3"/>
        <v>Reorder</v>
      </c>
    </row>
  </sheetData>
  <mergeCells count="2">
    <mergeCell ref="A1:E1"/>
    <mergeCell ref="A19:E19"/>
  </mergeCells>
  <conditionalFormatting sqref="A1:E1 A5:A11 A4:C4 A3:E3 A2:C2 B5:C17 D4:E18">
    <cfRule type="expression" dxfId="229" priority="21">
      <formula>ROW()=CELL(ROW)</formula>
    </cfRule>
  </conditionalFormatting>
  <conditionalFormatting sqref="A19:E19 A20:C20">
    <cfRule type="expression" dxfId="228" priority="20">
      <formula>ROW()=CELL(ROW)</formula>
    </cfRule>
  </conditionalFormatting>
  <conditionalFormatting sqref="D20">
    <cfRule type="expression" dxfId="227" priority="19">
      <formula>ROW()=CELL(ROW)</formula>
    </cfRule>
  </conditionalFormatting>
  <conditionalFormatting sqref="G20">
    <cfRule type="containsText" dxfId="226" priority="18" operator="containsText" text="Reorder ">
      <formula>NOT(ISERROR(SEARCH("Reorder ",G20)))</formula>
    </cfRule>
  </conditionalFormatting>
  <conditionalFormatting sqref="G1:G1048576">
    <cfRule type="containsText" dxfId="225" priority="17" operator="containsText" text="Reorder">
      <formula>NOT(ISERROR(SEARCH("Reorder",G1)))</formula>
    </cfRule>
  </conditionalFormatting>
  <conditionalFormatting sqref="G20">
    <cfRule type="containsText" dxfId="224" priority="16" operator="containsText" text="Reorder">
      <formula>NOT(ISERROR(SEARCH("Reorder",G20)))</formula>
    </cfRule>
  </conditionalFormatting>
  <conditionalFormatting sqref="G20">
    <cfRule type="containsText" dxfId="223" priority="15" operator="containsText" text="Reorder">
      <formula>NOT(ISERROR(SEARCH("Reorder",G20)))</formula>
    </cfRule>
  </conditionalFormatting>
  <conditionalFormatting sqref="G20">
    <cfRule type="containsText" dxfId="222" priority="14" operator="containsText" text="Reorder">
      <formula>NOT(ISERROR(SEARCH("Reorder",G20)))</formula>
    </cfRule>
  </conditionalFormatting>
  <conditionalFormatting sqref="G20">
    <cfRule type="containsText" dxfId="221" priority="13" operator="containsText" text="Reorder">
      <formula>NOT(ISERROR(SEARCH("Reorder",G20)))</formula>
    </cfRule>
  </conditionalFormatting>
  <conditionalFormatting sqref="G20">
    <cfRule type="containsText" dxfId="220" priority="12" operator="containsText" text="Reorder">
      <formula>NOT(ISERROR(SEARCH("Reorder",G20)))</formula>
    </cfRule>
  </conditionalFormatting>
  <conditionalFormatting sqref="G20">
    <cfRule type="containsText" dxfId="219" priority="11" operator="containsText" text="Reorder">
      <formula>NOT(ISERROR(SEARCH("Reorder",G20)))</formula>
    </cfRule>
  </conditionalFormatting>
  <conditionalFormatting sqref="D2">
    <cfRule type="expression" dxfId="218" priority="10">
      <formula>ROW()=CELL(ROW)</formula>
    </cfRule>
  </conditionalFormatting>
  <conditionalFormatting sqref="G2">
    <cfRule type="containsText" dxfId="217" priority="9" operator="containsText" text="Reorder ">
      <formula>NOT(ISERROR(SEARCH("Reorder ",G2)))</formula>
    </cfRule>
  </conditionalFormatting>
  <conditionalFormatting sqref="G2">
    <cfRule type="containsText" dxfId="216" priority="8" operator="containsText" text="Reorder">
      <formula>NOT(ISERROR(SEARCH("Reorder",G2)))</formula>
    </cfRule>
  </conditionalFormatting>
  <conditionalFormatting sqref="G2">
    <cfRule type="containsText" dxfId="215" priority="7" operator="containsText" text="Reorder">
      <formula>NOT(ISERROR(SEARCH("Reorder",G2)))</formula>
    </cfRule>
  </conditionalFormatting>
  <conditionalFormatting sqref="G2">
    <cfRule type="containsText" dxfId="214" priority="6" operator="containsText" text="Reorder">
      <formula>NOT(ISERROR(SEARCH("Reorder",G2)))</formula>
    </cfRule>
  </conditionalFormatting>
  <conditionalFormatting sqref="G2">
    <cfRule type="containsText" dxfId="213" priority="5" operator="containsText" text="Reorder">
      <formula>NOT(ISERROR(SEARCH("Reorder",G2)))</formula>
    </cfRule>
  </conditionalFormatting>
  <conditionalFormatting sqref="G2">
    <cfRule type="containsText" dxfId="212" priority="4" operator="containsText" text="Reorder">
      <formula>NOT(ISERROR(SEARCH("Reorder",G2)))</formula>
    </cfRule>
  </conditionalFormatting>
  <conditionalFormatting sqref="G2">
    <cfRule type="containsText" dxfId="211" priority="3" operator="containsText" text="Reorder">
      <formula>NOT(ISERROR(SEARCH("Reorder",G2)))</formula>
    </cfRule>
  </conditionalFormatting>
  <conditionalFormatting sqref="G2">
    <cfRule type="containsText" dxfId="210" priority="2" operator="containsText" text="Reorder">
      <formula>NOT(ISERROR(SEARCH("Reorder",G2)))</formula>
    </cfRule>
  </conditionalFormatting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28"/>
  <sheetViews>
    <sheetView topLeftCell="A6" workbookViewId="0">
      <selection activeCell="D29" sqref="D29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7" style="2" customWidth="1"/>
    <col min="7" max="7" width="11.42578125" style="2" bestFit="1" customWidth="1"/>
    <col min="8" max="16384" width="9.140625" style="2"/>
  </cols>
  <sheetData>
    <row r="1" spans="1:7" ht="44.25" customHeight="1" x14ac:dyDescent="0.25">
      <c r="A1" s="102" t="s">
        <v>386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365</v>
      </c>
      <c r="C2" s="5" t="s">
        <v>366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387</v>
      </c>
      <c r="B3" s="2">
        <v>1600</v>
      </c>
      <c r="C3" s="2">
        <v>1800</v>
      </c>
      <c r="D3" s="2">
        <v>2</v>
      </c>
      <c r="E3" s="2">
        <v>0</v>
      </c>
      <c r="F3" s="2">
        <f>D3-E3</f>
        <v>2</v>
      </c>
      <c r="G3" s="2" t="str">
        <f>IF(F3&lt;=1,"Reorder","Available")</f>
        <v>Available</v>
      </c>
    </row>
    <row r="4" spans="1:7" ht="15" customHeight="1" x14ac:dyDescent="0.25">
      <c r="A4" s="2" t="s">
        <v>843</v>
      </c>
      <c r="B4" s="2">
        <v>2770</v>
      </c>
      <c r="C4" s="2">
        <v>3150</v>
      </c>
      <c r="D4" s="2">
        <v>2</v>
      </c>
      <c r="E4" s="2">
        <v>0</v>
      </c>
      <c r="F4" s="2">
        <f>D4-E4</f>
        <v>2</v>
      </c>
      <c r="G4" s="2" t="str">
        <f t="shared" ref="G4:G19" si="0">IF(F4&lt;=1,"Reorder","Available")</f>
        <v>Available</v>
      </c>
    </row>
    <row r="5" spans="1:7" ht="15" customHeight="1" x14ac:dyDescent="0.25">
      <c r="A5" s="2" t="s">
        <v>388</v>
      </c>
      <c r="B5" s="2">
        <v>1500</v>
      </c>
      <c r="C5" s="2">
        <v>1700</v>
      </c>
      <c r="D5" s="2">
        <v>2</v>
      </c>
      <c r="E5" s="2">
        <v>0</v>
      </c>
      <c r="F5" s="2">
        <f t="shared" ref="F5:F19" si="1">D5-E5</f>
        <v>2</v>
      </c>
      <c r="G5" s="2" t="str">
        <f t="shared" si="0"/>
        <v>Available</v>
      </c>
    </row>
    <row r="6" spans="1:7" ht="15" customHeight="1" x14ac:dyDescent="0.25">
      <c r="A6" s="2" t="s">
        <v>389</v>
      </c>
      <c r="B6" s="2">
        <v>1650</v>
      </c>
      <c r="C6" s="2">
        <v>1850</v>
      </c>
      <c r="D6" s="2">
        <v>2</v>
      </c>
      <c r="E6" s="2">
        <v>0</v>
      </c>
      <c r="F6" s="2">
        <f t="shared" si="1"/>
        <v>2</v>
      </c>
      <c r="G6" s="2" t="str">
        <f t="shared" si="0"/>
        <v>Available</v>
      </c>
    </row>
    <row r="7" spans="1:7" ht="15" customHeight="1" x14ac:dyDescent="0.25">
      <c r="A7" s="2" t="s">
        <v>390</v>
      </c>
      <c r="B7" s="2">
        <v>2920</v>
      </c>
      <c r="C7" s="2">
        <v>3250</v>
      </c>
      <c r="D7" s="2">
        <v>0</v>
      </c>
      <c r="E7" s="2">
        <v>0</v>
      </c>
      <c r="F7" s="2">
        <f t="shared" si="1"/>
        <v>0</v>
      </c>
      <c r="G7" s="2" t="str">
        <f t="shared" si="0"/>
        <v>Reorder</v>
      </c>
    </row>
    <row r="8" spans="1:7" ht="15" customHeight="1" x14ac:dyDescent="0.25">
      <c r="A8" s="2" t="s">
        <v>391</v>
      </c>
      <c r="B8" s="2">
        <v>1880</v>
      </c>
      <c r="C8" s="2">
        <v>2000</v>
      </c>
      <c r="D8" s="2">
        <v>2</v>
      </c>
      <c r="E8" s="2">
        <v>1</v>
      </c>
      <c r="F8" s="2">
        <f t="shared" si="1"/>
        <v>1</v>
      </c>
      <c r="G8" s="2" t="str">
        <f t="shared" si="0"/>
        <v>Reorder</v>
      </c>
    </row>
    <row r="9" spans="1:7" ht="15" customHeight="1" x14ac:dyDescent="0.25">
      <c r="A9" s="2" t="s">
        <v>392</v>
      </c>
      <c r="B9" s="2">
        <v>3340</v>
      </c>
      <c r="C9" s="2">
        <v>3650</v>
      </c>
      <c r="D9" s="2">
        <v>2</v>
      </c>
      <c r="E9" s="2">
        <v>0</v>
      </c>
      <c r="F9" s="2">
        <f t="shared" si="1"/>
        <v>2</v>
      </c>
      <c r="G9" s="2" t="str">
        <f t="shared" si="0"/>
        <v>Available</v>
      </c>
    </row>
    <row r="10" spans="1:7" ht="15" customHeight="1" x14ac:dyDescent="0.25">
      <c r="A10" s="2" t="s">
        <v>393</v>
      </c>
      <c r="B10" s="2">
        <v>1900</v>
      </c>
      <c r="C10" s="2">
        <v>2350</v>
      </c>
      <c r="D10" s="2">
        <v>4</v>
      </c>
      <c r="E10" s="2">
        <v>0</v>
      </c>
      <c r="F10" s="2">
        <f t="shared" si="1"/>
        <v>4</v>
      </c>
      <c r="G10" s="2" t="str">
        <f t="shared" si="0"/>
        <v>Available</v>
      </c>
    </row>
    <row r="11" spans="1:7" ht="15" customHeight="1" x14ac:dyDescent="0.25">
      <c r="A11" s="2" t="s">
        <v>394</v>
      </c>
      <c r="B11" s="2">
        <v>3600</v>
      </c>
      <c r="C11" s="2">
        <v>4000</v>
      </c>
      <c r="D11" s="2">
        <v>0</v>
      </c>
      <c r="E11" s="2">
        <v>0</v>
      </c>
      <c r="F11" s="2">
        <f t="shared" si="1"/>
        <v>0</v>
      </c>
      <c r="G11" s="2" t="str">
        <f t="shared" si="0"/>
        <v>Reorder</v>
      </c>
    </row>
    <row r="12" spans="1:7" ht="15" customHeight="1" x14ac:dyDescent="0.25">
      <c r="A12" s="2" t="s">
        <v>1014</v>
      </c>
      <c r="B12" s="2">
        <v>1750</v>
      </c>
      <c r="C12" s="2">
        <v>2000</v>
      </c>
      <c r="D12" s="2">
        <v>2</v>
      </c>
      <c r="E12" s="2">
        <v>0</v>
      </c>
      <c r="F12" s="2">
        <f t="shared" si="1"/>
        <v>2</v>
      </c>
      <c r="G12" s="2" t="str">
        <f t="shared" si="0"/>
        <v>Available</v>
      </c>
    </row>
    <row r="13" spans="1:7" ht="15" customHeight="1" x14ac:dyDescent="0.25">
      <c r="A13" s="2" t="s">
        <v>395</v>
      </c>
      <c r="B13" s="2">
        <v>2515</v>
      </c>
      <c r="C13" s="2">
        <v>2800</v>
      </c>
      <c r="D13" s="2">
        <v>2</v>
      </c>
      <c r="E13" s="2">
        <v>0</v>
      </c>
      <c r="F13" s="2">
        <f t="shared" si="1"/>
        <v>2</v>
      </c>
      <c r="G13" s="2" t="str">
        <f t="shared" si="0"/>
        <v>Available</v>
      </c>
    </row>
    <row r="14" spans="1:7" x14ac:dyDescent="0.25">
      <c r="A14" s="2" t="s">
        <v>396</v>
      </c>
      <c r="B14" s="2">
        <v>1550</v>
      </c>
      <c r="C14" s="2">
        <v>1650</v>
      </c>
      <c r="D14" s="2">
        <v>3</v>
      </c>
      <c r="E14" s="2">
        <v>2</v>
      </c>
      <c r="F14" s="2">
        <f t="shared" si="1"/>
        <v>1</v>
      </c>
      <c r="G14" s="2" t="str">
        <f t="shared" si="0"/>
        <v>Reorder</v>
      </c>
    </row>
    <row r="15" spans="1:7" x14ac:dyDescent="0.25">
      <c r="A15" s="2" t="s">
        <v>397</v>
      </c>
      <c r="B15" s="2">
        <v>1700</v>
      </c>
      <c r="C15" s="2">
        <v>1800</v>
      </c>
      <c r="D15" s="2">
        <v>2</v>
      </c>
      <c r="E15" s="2">
        <v>0</v>
      </c>
      <c r="F15" s="2">
        <f t="shared" si="1"/>
        <v>2</v>
      </c>
      <c r="G15" s="2" t="str">
        <f t="shared" si="0"/>
        <v>Available</v>
      </c>
    </row>
    <row r="16" spans="1:7" x14ac:dyDescent="0.25">
      <c r="A16" s="2" t="s">
        <v>398</v>
      </c>
      <c r="B16" s="2">
        <v>1900</v>
      </c>
      <c r="C16" s="2">
        <v>2200</v>
      </c>
      <c r="D16" s="2">
        <v>2</v>
      </c>
      <c r="E16" s="2">
        <v>0</v>
      </c>
      <c r="F16" s="2">
        <f t="shared" si="1"/>
        <v>2</v>
      </c>
      <c r="G16" s="2" t="str">
        <f t="shared" si="0"/>
        <v>Available</v>
      </c>
    </row>
    <row r="17" spans="1:7" x14ac:dyDescent="0.25">
      <c r="A17" s="2" t="s">
        <v>48</v>
      </c>
      <c r="B17" s="2">
        <v>1450</v>
      </c>
      <c r="C17" s="2">
        <v>1600</v>
      </c>
      <c r="D17" s="2">
        <v>4</v>
      </c>
      <c r="E17" s="2">
        <v>0</v>
      </c>
      <c r="F17" s="2">
        <f t="shared" si="1"/>
        <v>4</v>
      </c>
      <c r="G17" s="2" t="str">
        <f t="shared" si="0"/>
        <v>Available</v>
      </c>
    </row>
    <row r="18" spans="1:7" x14ac:dyDescent="0.25">
      <c r="A18" s="2" t="s">
        <v>898</v>
      </c>
      <c r="B18" s="2">
        <v>1800</v>
      </c>
      <c r="C18" s="2">
        <v>2000</v>
      </c>
      <c r="D18" s="2">
        <v>4</v>
      </c>
      <c r="E18" s="2">
        <v>0</v>
      </c>
      <c r="F18" s="2">
        <f t="shared" si="1"/>
        <v>4</v>
      </c>
      <c r="G18" s="2" t="str">
        <f t="shared" si="0"/>
        <v>Available</v>
      </c>
    </row>
    <row r="19" spans="1:7" x14ac:dyDescent="0.25">
      <c r="A19" s="2" t="s">
        <v>908</v>
      </c>
      <c r="B19" s="2">
        <v>1900</v>
      </c>
      <c r="C19" s="2">
        <v>2200</v>
      </c>
      <c r="D19" s="2">
        <v>2</v>
      </c>
      <c r="E19" s="2">
        <v>0</v>
      </c>
      <c r="F19" s="2">
        <f t="shared" si="1"/>
        <v>2</v>
      </c>
      <c r="G19" s="2" t="str">
        <f t="shared" si="0"/>
        <v>Available</v>
      </c>
    </row>
    <row r="21" spans="1:7" ht="36.75" customHeight="1" x14ac:dyDescent="0.25">
      <c r="A21" s="102" t="s">
        <v>752</v>
      </c>
      <c r="B21" s="72"/>
      <c r="C21" s="72"/>
      <c r="D21" s="72"/>
      <c r="E21" s="72"/>
    </row>
    <row r="22" spans="1:7" s="7" customFormat="1" ht="61.5" customHeight="1" x14ac:dyDescent="0.25">
      <c r="A22" s="4" t="s">
        <v>3</v>
      </c>
      <c r="B22" s="5" t="s">
        <v>365</v>
      </c>
      <c r="C22" s="5" t="s">
        <v>366</v>
      </c>
      <c r="D22" s="5" t="s">
        <v>680</v>
      </c>
      <c r="E22" s="5" t="s">
        <v>681</v>
      </c>
      <c r="F22" s="5" t="s">
        <v>641</v>
      </c>
      <c r="G22" s="5" t="s">
        <v>638</v>
      </c>
    </row>
    <row r="23" spans="1:7" x14ac:dyDescent="0.25">
      <c r="A23" s="2" t="s">
        <v>5</v>
      </c>
      <c r="D23" s="2">
        <v>3</v>
      </c>
      <c r="E23" s="2">
        <v>0</v>
      </c>
      <c r="F23" s="2">
        <f>D23-E23</f>
        <v>3</v>
      </c>
      <c r="G23" s="2" t="str">
        <f>IF(F23&lt;=0,"Reorder","Available")</f>
        <v>Available</v>
      </c>
    </row>
    <row r="24" spans="1:7" x14ac:dyDescent="0.25">
      <c r="A24" s="2" t="s">
        <v>151</v>
      </c>
      <c r="D24" s="2">
        <v>3</v>
      </c>
      <c r="E24" s="2">
        <v>2</v>
      </c>
      <c r="F24" s="2">
        <f t="shared" ref="F24:F28" si="2">D24-E24</f>
        <v>1</v>
      </c>
      <c r="G24" s="2" t="str">
        <f t="shared" ref="G24:G28" si="3">IF(F24&lt;=0,"Reorder","Available")</f>
        <v>Available</v>
      </c>
    </row>
    <row r="25" spans="1:7" x14ac:dyDescent="0.25">
      <c r="A25" s="2" t="s">
        <v>753</v>
      </c>
      <c r="D25" s="2">
        <v>0</v>
      </c>
      <c r="E25" s="2">
        <v>0</v>
      </c>
      <c r="F25" s="2">
        <f t="shared" si="2"/>
        <v>0</v>
      </c>
      <c r="G25" s="2" t="str">
        <f>IF(F25&lt;=0,"Reorder","Available")</f>
        <v>Reorder</v>
      </c>
    </row>
    <row r="26" spans="1:7" x14ac:dyDescent="0.25">
      <c r="A26" s="2" t="s">
        <v>754</v>
      </c>
      <c r="D26" s="2">
        <v>1</v>
      </c>
      <c r="E26" s="2">
        <v>0</v>
      </c>
      <c r="F26" s="2">
        <f t="shared" si="2"/>
        <v>1</v>
      </c>
      <c r="G26" s="2" t="str">
        <f t="shared" si="3"/>
        <v>Available</v>
      </c>
    </row>
    <row r="27" spans="1:7" x14ac:dyDescent="0.25">
      <c r="A27" s="2" t="s">
        <v>755</v>
      </c>
      <c r="D27" s="2">
        <v>3</v>
      </c>
      <c r="E27" s="2">
        <v>0</v>
      </c>
      <c r="F27" s="2">
        <f t="shared" si="2"/>
        <v>3</v>
      </c>
      <c r="G27" s="2" t="str">
        <f t="shared" si="3"/>
        <v>Available</v>
      </c>
    </row>
    <row r="28" spans="1:7" x14ac:dyDescent="0.25">
      <c r="A28" s="2" t="s">
        <v>756</v>
      </c>
      <c r="D28" s="2">
        <v>2</v>
      </c>
      <c r="E28" s="2">
        <v>0</v>
      </c>
      <c r="F28" s="2">
        <f t="shared" si="2"/>
        <v>2</v>
      </c>
      <c r="G28" s="2" t="str">
        <f t="shared" si="3"/>
        <v>Available</v>
      </c>
    </row>
  </sheetData>
  <mergeCells count="2">
    <mergeCell ref="A1:E1"/>
    <mergeCell ref="A21:E21"/>
  </mergeCells>
  <conditionalFormatting sqref="A1:E1 A6:A12 A5:C5 B6:C19 A3:E4 A2:C2 D5:E15">
    <cfRule type="expression" dxfId="209" priority="25">
      <formula>ROW()=CELL(ROW)</formula>
    </cfRule>
  </conditionalFormatting>
  <conditionalFormatting sqref="A21:E21">
    <cfRule type="expression" dxfId="208" priority="24">
      <formula>ROW()=CELL(ROW)</formula>
    </cfRule>
  </conditionalFormatting>
  <conditionalFormatting sqref="D2">
    <cfRule type="expression" dxfId="207" priority="23">
      <formula>ROW()=CELL(ROW)</formula>
    </cfRule>
  </conditionalFormatting>
  <conditionalFormatting sqref="G2">
    <cfRule type="containsText" dxfId="206" priority="22" operator="containsText" text="Reorder ">
      <formula>NOT(ISERROR(SEARCH("Reorder ",G2)))</formula>
    </cfRule>
  </conditionalFormatting>
  <conditionalFormatting sqref="G2">
    <cfRule type="containsText" dxfId="205" priority="21" operator="containsText" text="Reorder">
      <formula>NOT(ISERROR(SEARCH("Reorder",G2)))</formula>
    </cfRule>
  </conditionalFormatting>
  <conditionalFormatting sqref="G2">
    <cfRule type="containsText" dxfId="204" priority="20" operator="containsText" text="Reorder">
      <formula>NOT(ISERROR(SEARCH("Reorder",G2)))</formula>
    </cfRule>
  </conditionalFormatting>
  <conditionalFormatting sqref="G2">
    <cfRule type="containsText" dxfId="203" priority="19" operator="containsText" text="Reorder">
      <formula>NOT(ISERROR(SEARCH("Reorder",G2)))</formula>
    </cfRule>
  </conditionalFormatting>
  <conditionalFormatting sqref="G2">
    <cfRule type="containsText" dxfId="202" priority="18" operator="containsText" text="Reorder">
      <formula>NOT(ISERROR(SEARCH("Reorder",G2)))</formula>
    </cfRule>
  </conditionalFormatting>
  <conditionalFormatting sqref="G2">
    <cfRule type="containsText" dxfId="201" priority="17" operator="containsText" text="Reorder">
      <formula>NOT(ISERROR(SEARCH("Reorder",G2)))</formula>
    </cfRule>
  </conditionalFormatting>
  <conditionalFormatting sqref="G2">
    <cfRule type="containsText" dxfId="200" priority="16" operator="containsText" text="Reorder">
      <formula>NOT(ISERROR(SEARCH("Reorder",G2)))</formula>
    </cfRule>
  </conditionalFormatting>
  <conditionalFormatting sqref="G2">
    <cfRule type="containsText" dxfId="199" priority="15" operator="containsText" text="Reorder">
      <formula>NOT(ISERROR(SEARCH("Reorder",G2)))</formula>
    </cfRule>
  </conditionalFormatting>
  <conditionalFormatting sqref="G2">
    <cfRule type="containsText" dxfId="198" priority="14" operator="containsText" text="Reorder">
      <formula>NOT(ISERROR(SEARCH("Reorder",G2)))</formula>
    </cfRule>
  </conditionalFormatting>
  <conditionalFormatting sqref="G23:G1048576 G1:G21">
    <cfRule type="containsText" dxfId="197" priority="13" operator="containsText" text="Reorder">
      <formula>NOT(ISERROR(SEARCH("Reorder",G1)))</formula>
    </cfRule>
  </conditionalFormatting>
  <conditionalFormatting sqref="A22:C22">
    <cfRule type="expression" dxfId="196" priority="12">
      <formula>ROW()=CELL(ROW)</formula>
    </cfRule>
  </conditionalFormatting>
  <conditionalFormatting sqref="D22">
    <cfRule type="expression" dxfId="195" priority="11">
      <formula>ROW()=CELL(ROW)</formula>
    </cfRule>
  </conditionalFormatting>
  <conditionalFormatting sqref="G22">
    <cfRule type="containsText" dxfId="194" priority="10" operator="containsText" text="Reorder ">
      <formula>NOT(ISERROR(SEARCH("Reorder ",G22)))</formula>
    </cfRule>
  </conditionalFormatting>
  <conditionalFormatting sqref="G22">
    <cfRule type="containsText" dxfId="193" priority="9" operator="containsText" text="Reorder">
      <formula>NOT(ISERROR(SEARCH("Reorder",G22)))</formula>
    </cfRule>
  </conditionalFormatting>
  <conditionalFormatting sqref="G22">
    <cfRule type="containsText" dxfId="192" priority="8" operator="containsText" text="Reorder">
      <formula>NOT(ISERROR(SEARCH("Reorder",G22)))</formula>
    </cfRule>
  </conditionalFormatting>
  <conditionalFormatting sqref="G22">
    <cfRule type="containsText" dxfId="191" priority="7" operator="containsText" text="Reorder">
      <formula>NOT(ISERROR(SEARCH("Reorder",G22)))</formula>
    </cfRule>
  </conditionalFormatting>
  <conditionalFormatting sqref="G22">
    <cfRule type="containsText" dxfId="190" priority="6" operator="containsText" text="Reorder">
      <formula>NOT(ISERROR(SEARCH("Reorder",G22)))</formula>
    </cfRule>
  </conditionalFormatting>
  <conditionalFormatting sqref="G22">
    <cfRule type="containsText" dxfId="189" priority="5" operator="containsText" text="Reorder">
      <formula>NOT(ISERROR(SEARCH("Reorder",G22)))</formula>
    </cfRule>
  </conditionalFormatting>
  <conditionalFormatting sqref="G22">
    <cfRule type="containsText" dxfId="188" priority="4" operator="containsText" text="Reorder">
      <formula>NOT(ISERROR(SEARCH("Reorder",G22)))</formula>
    </cfRule>
  </conditionalFormatting>
  <conditionalFormatting sqref="G22">
    <cfRule type="containsText" dxfId="187" priority="3" operator="containsText" text="Reorder">
      <formula>NOT(ISERROR(SEARCH("Reorder",G22)))</formula>
    </cfRule>
  </conditionalFormatting>
  <conditionalFormatting sqref="G22">
    <cfRule type="containsText" dxfId="186" priority="2" operator="containsText" text="Reorder">
      <formula>NOT(ISERROR(SEARCH("Reorder",G22)))</formula>
    </cfRule>
  </conditionalFormatting>
  <conditionalFormatting sqref="G22">
    <cfRule type="containsText" dxfId="185" priority="1" operator="containsText" text="Reorder">
      <formula>NOT(ISERROR(SEARCH("Reorder",G22)))</formula>
    </cfRule>
  </conditionalFormatting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20"/>
  <sheetViews>
    <sheetView workbookViewId="0">
      <selection activeCell="E11" sqref="E11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7.28515625" style="2" customWidth="1"/>
    <col min="7" max="7" width="11.85546875" style="2" customWidth="1"/>
    <col min="8" max="16384" width="9.140625" style="2"/>
  </cols>
  <sheetData>
    <row r="1" spans="1:7" ht="44.25" customHeight="1" x14ac:dyDescent="0.25">
      <c r="A1" s="102" t="s">
        <v>399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365</v>
      </c>
      <c r="C2" s="5" t="s">
        <v>366</v>
      </c>
      <c r="D2" s="5" t="s">
        <v>750</v>
      </c>
      <c r="E2" s="5" t="s">
        <v>751</v>
      </c>
      <c r="F2" s="5" t="s">
        <v>641</v>
      </c>
      <c r="G2" s="5" t="s">
        <v>638</v>
      </c>
    </row>
    <row r="3" spans="1:7" ht="15" customHeight="1" x14ac:dyDescent="0.25">
      <c r="A3" s="2" t="s">
        <v>5</v>
      </c>
      <c r="B3" s="2">
        <v>320</v>
      </c>
      <c r="C3" s="2">
        <v>380</v>
      </c>
      <c r="D3" s="2">
        <v>6</v>
      </c>
      <c r="E3" s="2">
        <v>2</v>
      </c>
      <c r="F3" s="2">
        <f>D3-E3</f>
        <v>4</v>
      </c>
      <c r="G3" s="2" t="str">
        <f>IF(F3&lt;=2,"Reorder","Available")</f>
        <v>Available</v>
      </c>
    </row>
    <row r="4" spans="1:7" ht="15" customHeight="1" x14ac:dyDescent="0.25">
      <c r="A4" s="2" t="s">
        <v>400</v>
      </c>
      <c r="B4" s="2">
        <v>130</v>
      </c>
      <c r="C4" s="2">
        <v>180</v>
      </c>
      <c r="D4" s="2">
        <v>8</v>
      </c>
      <c r="E4" s="2">
        <v>1</v>
      </c>
      <c r="F4" s="2">
        <f>D4-E4</f>
        <v>7</v>
      </c>
      <c r="G4" s="2" t="str">
        <f t="shared" ref="G4:G14" si="0">IF(F4&lt;=2,"Reorder","Available")</f>
        <v>Available</v>
      </c>
    </row>
    <row r="5" spans="1:7" ht="15" customHeight="1" x14ac:dyDescent="0.25">
      <c r="A5" s="2" t="s">
        <v>109</v>
      </c>
      <c r="B5" s="2">
        <v>230</v>
      </c>
      <c r="C5" s="2">
        <v>280</v>
      </c>
      <c r="D5" s="2">
        <v>4</v>
      </c>
      <c r="E5" s="2">
        <v>0</v>
      </c>
      <c r="F5" s="2">
        <f t="shared" ref="F5:F14" si="1">D5-E5</f>
        <v>4</v>
      </c>
      <c r="G5" s="2" t="str">
        <f t="shared" si="0"/>
        <v>Available</v>
      </c>
    </row>
    <row r="6" spans="1:7" ht="15" customHeight="1" x14ac:dyDescent="0.25">
      <c r="A6" s="2" t="s">
        <v>251</v>
      </c>
      <c r="B6" s="2">
        <v>290</v>
      </c>
      <c r="C6" s="2">
        <v>350</v>
      </c>
      <c r="D6" s="2">
        <v>6</v>
      </c>
      <c r="E6" s="2">
        <v>2</v>
      </c>
      <c r="F6" s="2">
        <f t="shared" si="1"/>
        <v>4</v>
      </c>
      <c r="G6" s="2" t="str">
        <f t="shared" si="0"/>
        <v>Available</v>
      </c>
    </row>
    <row r="7" spans="1:7" ht="15" customHeight="1" x14ac:dyDescent="0.25">
      <c r="A7" s="2" t="s">
        <v>232</v>
      </c>
      <c r="B7" s="2">
        <v>280</v>
      </c>
      <c r="C7" s="2">
        <v>320</v>
      </c>
      <c r="D7" s="2">
        <v>3</v>
      </c>
      <c r="E7" s="2">
        <v>1</v>
      </c>
      <c r="F7" s="2">
        <f t="shared" si="1"/>
        <v>2</v>
      </c>
      <c r="G7" s="2" t="str">
        <f t="shared" si="0"/>
        <v>Reorder</v>
      </c>
    </row>
    <row r="8" spans="1:7" ht="15" customHeight="1" x14ac:dyDescent="0.25">
      <c r="A8" s="2" t="s">
        <v>17</v>
      </c>
      <c r="B8" s="2">
        <v>230</v>
      </c>
      <c r="C8" s="2">
        <v>280</v>
      </c>
      <c r="D8" s="2">
        <v>2</v>
      </c>
      <c r="E8" s="2">
        <v>0</v>
      </c>
      <c r="F8" s="2">
        <f t="shared" si="1"/>
        <v>2</v>
      </c>
      <c r="G8" s="2" t="str">
        <f t="shared" si="0"/>
        <v>Reorder</v>
      </c>
    </row>
    <row r="9" spans="1:7" ht="15" customHeight="1" x14ac:dyDescent="0.25">
      <c r="A9" s="2" t="s">
        <v>118</v>
      </c>
      <c r="B9" s="2">
        <v>290</v>
      </c>
      <c r="C9" s="2">
        <v>350</v>
      </c>
      <c r="D9" s="2">
        <v>3</v>
      </c>
      <c r="E9" s="2">
        <v>0</v>
      </c>
      <c r="F9" s="2">
        <f t="shared" si="1"/>
        <v>3</v>
      </c>
      <c r="G9" s="2" t="str">
        <f t="shared" si="0"/>
        <v>Available</v>
      </c>
    </row>
    <row r="10" spans="1:7" ht="15" customHeight="1" x14ac:dyDescent="0.25">
      <c r="A10" s="2" t="s">
        <v>12</v>
      </c>
      <c r="B10" s="2">
        <v>130</v>
      </c>
      <c r="C10" s="2">
        <v>180</v>
      </c>
      <c r="D10" s="2">
        <v>6</v>
      </c>
      <c r="E10" s="2">
        <v>1</v>
      </c>
      <c r="F10" s="2">
        <f t="shared" si="1"/>
        <v>5</v>
      </c>
      <c r="G10" s="2" t="str">
        <f t="shared" si="0"/>
        <v>Available</v>
      </c>
    </row>
    <row r="11" spans="1:7" ht="15" customHeight="1" x14ac:dyDescent="0.25">
      <c r="A11" s="2" t="s">
        <v>613</v>
      </c>
      <c r="B11" s="2">
        <v>330</v>
      </c>
      <c r="C11" s="2">
        <v>400</v>
      </c>
      <c r="D11" s="2">
        <v>5</v>
      </c>
      <c r="E11" s="2">
        <v>1</v>
      </c>
      <c r="F11" s="2">
        <f t="shared" si="1"/>
        <v>4</v>
      </c>
      <c r="G11" s="2" t="str">
        <f t="shared" si="0"/>
        <v>Available</v>
      </c>
    </row>
    <row r="12" spans="1:7" x14ac:dyDescent="0.25">
      <c r="A12" s="2" t="s">
        <v>30</v>
      </c>
      <c r="B12" s="2">
        <v>295</v>
      </c>
      <c r="C12" s="2">
        <v>395</v>
      </c>
      <c r="D12" s="2">
        <v>1</v>
      </c>
      <c r="E12" s="2">
        <v>0</v>
      </c>
      <c r="F12" s="2">
        <f t="shared" si="1"/>
        <v>1</v>
      </c>
      <c r="G12" s="2" t="str">
        <f t="shared" si="0"/>
        <v>Reorder</v>
      </c>
    </row>
    <row r="13" spans="1:7" x14ac:dyDescent="0.25">
      <c r="A13" s="2" t="s">
        <v>382</v>
      </c>
      <c r="B13" s="2">
        <v>35</v>
      </c>
      <c r="C13" s="2">
        <v>55</v>
      </c>
      <c r="D13" s="2">
        <v>20</v>
      </c>
      <c r="E13" s="2">
        <v>2</v>
      </c>
      <c r="F13" s="2">
        <f t="shared" si="1"/>
        <v>18</v>
      </c>
      <c r="G13" s="2" t="str">
        <f t="shared" si="0"/>
        <v>Available</v>
      </c>
    </row>
    <row r="14" spans="1:7" x14ac:dyDescent="0.25">
      <c r="A14" s="2" t="s">
        <v>115</v>
      </c>
      <c r="B14" s="2">
        <v>100</v>
      </c>
      <c r="C14" s="2">
        <v>130</v>
      </c>
      <c r="D14" s="2">
        <v>5</v>
      </c>
      <c r="E14" s="2">
        <v>1</v>
      </c>
      <c r="F14" s="2">
        <f t="shared" si="1"/>
        <v>4</v>
      </c>
      <c r="G14" s="2" t="str">
        <f t="shared" si="0"/>
        <v>Available</v>
      </c>
    </row>
    <row r="19" spans="1:5" ht="15" customHeight="1" x14ac:dyDescent="0.25">
      <c r="A19" s="102"/>
      <c r="B19" s="72"/>
      <c r="C19" s="72"/>
      <c r="D19" s="72"/>
      <c r="E19" s="72"/>
    </row>
    <row r="20" spans="1:5" s="7" customFormat="1" ht="15" customHeight="1" x14ac:dyDescent="0.25">
      <c r="A20" s="4"/>
      <c r="B20" s="5"/>
      <c r="C20" s="5"/>
      <c r="D20" s="2"/>
      <c r="E20" s="2"/>
    </row>
  </sheetData>
  <mergeCells count="2">
    <mergeCell ref="A1:E1"/>
    <mergeCell ref="A19:E19"/>
  </mergeCells>
  <conditionalFormatting sqref="A1:E1 A5:A10 A4:C4 B5:C17 A3:E3 A2:C2 D4:E14">
    <cfRule type="expression" dxfId="184" priority="14">
      <formula>ROW()=CELL(ROW)</formula>
    </cfRule>
  </conditionalFormatting>
  <conditionalFormatting sqref="A19:E20">
    <cfRule type="expression" dxfId="183" priority="13">
      <formula>ROW()=CELL(ROW)</formula>
    </cfRule>
  </conditionalFormatting>
  <conditionalFormatting sqref="D2">
    <cfRule type="expression" dxfId="182" priority="12">
      <formula>ROW()=CELL(ROW)</formula>
    </cfRule>
  </conditionalFormatting>
  <conditionalFormatting sqref="G2">
    <cfRule type="containsText" dxfId="181" priority="11" operator="containsText" text="Reorder ">
      <formula>NOT(ISERROR(SEARCH("Reorder ",G2)))</formula>
    </cfRule>
  </conditionalFormatting>
  <conditionalFormatting sqref="G2">
    <cfRule type="containsText" dxfId="180" priority="10" operator="containsText" text="Reorder">
      <formula>NOT(ISERROR(SEARCH("Reorder",G2)))</formula>
    </cfRule>
  </conditionalFormatting>
  <conditionalFormatting sqref="G2">
    <cfRule type="containsText" dxfId="179" priority="9" operator="containsText" text="Reorder">
      <formula>NOT(ISERROR(SEARCH("Reorder",G2)))</formula>
    </cfRule>
  </conditionalFormatting>
  <conditionalFormatting sqref="G2">
    <cfRule type="containsText" dxfId="178" priority="8" operator="containsText" text="Reorder">
      <formula>NOT(ISERROR(SEARCH("Reorder",G2)))</formula>
    </cfRule>
  </conditionalFormatting>
  <conditionalFormatting sqref="G2">
    <cfRule type="containsText" dxfId="177" priority="7" operator="containsText" text="Reorder">
      <formula>NOT(ISERROR(SEARCH("Reorder",G2)))</formula>
    </cfRule>
  </conditionalFormatting>
  <conditionalFormatting sqref="G2">
    <cfRule type="containsText" dxfId="176" priority="6" operator="containsText" text="Reorder">
      <formula>NOT(ISERROR(SEARCH("Reorder",G2)))</formula>
    </cfRule>
  </conditionalFormatting>
  <conditionalFormatting sqref="G2">
    <cfRule type="containsText" dxfId="175" priority="5" operator="containsText" text="Reorder">
      <formula>NOT(ISERROR(SEARCH("Reorder",G2)))</formula>
    </cfRule>
  </conditionalFormatting>
  <conditionalFormatting sqref="G2">
    <cfRule type="containsText" dxfId="174" priority="4" operator="containsText" text="Reorder">
      <formula>NOT(ISERROR(SEARCH("Reorder",G2)))</formula>
    </cfRule>
  </conditionalFormatting>
  <conditionalFormatting sqref="G2">
    <cfRule type="containsText" dxfId="173" priority="3" operator="containsText" text="Reorder">
      <formula>NOT(ISERROR(SEARCH("Reorder",G2)))</formula>
    </cfRule>
  </conditionalFormatting>
  <conditionalFormatting sqref="G2">
    <cfRule type="containsText" dxfId="172" priority="2" operator="containsText" text="Reorder">
      <formula>NOT(ISERROR(SEARCH("Reorder",G2)))</formula>
    </cfRule>
  </conditionalFormatting>
  <conditionalFormatting sqref="G1:G1048576">
    <cfRule type="containsText" dxfId="171" priority="1" operator="containsText" text="Reorder">
      <formula>NOT(ISERROR(SEARCH("Reorder",G1)))</formula>
    </cfRule>
  </conditionalFormatting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8"/>
  <sheetViews>
    <sheetView workbookViewId="0">
      <selection activeCell="C6" sqref="C6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28515625" style="2" bestFit="1" customWidth="1"/>
    <col min="5" max="5" width="16" style="2" bestFit="1" customWidth="1"/>
    <col min="6" max="6" width="17.5703125" style="2" customWidth="1"/>
    <col min="7" max="7" width="11.42578125" style="2" bestFit="1" customWidth="1"/>
    <col min="8" max="16384" width="9.140625" style="2"/>
  </cols>
  <sheetData>
    <row r="1" spans="1:7" ht="44.25" customHeight="1" x14ac:dyDescent="0.25">
      <c r="A1" s="102" t="s">
        <v>401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60</v>
      </c>
      <c r="C2" s="5" t="s">
        <v>62</v>
      </c>
      <c r="D2" s="5" t="s">
        <v>680</v>
      </c>
      <c r="E2" s="5" t="s">
        <v>757</v>
      </c>
      <c r="F2" s="5" t="s">
        <v>641</v>
      </c>
      <c r="G2" s="5" t="s">
        <v>638</v>
      </c>
    </row>
    <row r="3" spans="1:7" ht="15" customHeight="1" x14ac:dyDescent="0.25">
      <c r="A3" s="2" t="s">
        <v>844</v>
      </c>
      <c r="B3" s="2">
        <v>450</v>
      </c>
      <c r="C3" s="2">
        <v>620</v>
      </c>
      <c r="D3" s="2">
        <v>6</v>
      </c>
      <c r="E3" s="2">
        <v>6</v>
      </c>
      <c r="F3" s="2">
        <f t="shared" ref="F3:F7" si="0">D3-E3</f>
        <v>0</v>
      </c>
      <c r="G3" s="2" t="str">
        <f t="shared" ref="G3:G7" si="1">IF(F3&lt;=2,"Reorder","Available")</f>
        <v>Reorder</v>
      </c>
    </row>
    <row r="4" spans="1:7" ht="15" customHeight="1" x14ac:dyDescent="0.25">
      <c r="A4" s="2" t="s">
        <v>845</v>
      </c>
      <c r="B4" s="2">
        <v>230</v>
      </c>
      <c r="C4" s="2">
        <v>300</v>
      </c>
      <c r="D4" s="2">
        <v>8</v>
      </c>
      <c r="E4" s="2">
        <v>1</v>
      </c>
      <c r="F4" s="2">
        <f t="shared" si="0"/>
        <v>7</v>
      </c>
      <c r="G4" s="2" t="str">
        <f t="shared" si="1"/>
        <v>Available</v>
      </c>
    </row>
    <row r="5" spans="1:7" ht="15" customHeight="1" x14ac:dyDescent="0.25">
      <c r="A5" s="2" t="s">
        <v>1023</v>
      </c>
      <c r="B5" s="2">
        <v>340</v>
      </c>
      <c r="C5" s="2">
        <v>400</v>
      </c>
      <c r="D5" s="2">
        <v>3</v>
      </c>
      <c r="E5" s="2">
        <v>1</v>
      </c>
      <c r="F5" s="2">
        <f t="shared" si="0"/>
        <v>2</v>
      </c>
      <c r="G5" s="2" t="str">
        <f t="shared" si="1"/>
        <v>Reorder</v>
      </c>
    </row>
    <row r="6" spans="1:7" ht="15" customHeight="1" x14ac:dyDescent="0.25">
      <c r="A6" s="2" t="s">
        <v>17</v>
      </c>
      <c r="B6" s="2">
        <v>210</v>
      </c>
      <c r="C6" s="2">
        <v>290</v>
      </c>
      <c r="D6" s="2">
        <v>2</v>
      </c>
      <c r="E6" s="2">
        <v>2</v>
      </c>
      <c r="F6" s="2">
        <f t="shared" si="0"/>
        <v>0</v>
      </c>
      <c r="G6" s="2" t="str">
        <f t="shared" si="1"/>
        <v>Reorder</v>
      </c>
    </row>
    <row r="7" spans="1:7" ht="15" customHeight="1" x14ac:dyDescent="0.25">
      <c r="A7" s="2" t="s">
        <v>905</v>
      </c>
      <c r="B7" s="2">
        <v>440</v>
      </c>
      <c r="C7" s="2">
        <v>620</v>
      </c>
      <c r="D7" s="2">
        <v>4</v>
      </c>
      <c r="E7" s="2">
        <v>4</v>
      </c>
      <c r="F7" s="2">
        <f t="shared" si="0"/>
        <v>0</v>
      </c>
      <c r="G7" s="2" t="str">
        <f t="shared" si="1"/>
        <v>Reorder</v>
      </c>
    </row>
    <row r="8" spans="1:7" ht="15" customHeight="1" x14ac:dyDescent="0.25"/>
    <row r="9" spans="1:7" ht="44.25" customHeight="1" x14ac:dyDescent="0.25">
      <c r="A9" s="102" t="s">
        <v>402</v>
      </c>
      <c r="B9" s="72"/>
      <c r="C9" s="72"/>
      <c r="D9" s="72"/>
      <c r="E9" s="72"/>
    </row>
    <row r="10" spans="1:7" s="7" customFormat="1" ht="61.5" customHeight="1" x14ac:dyDescent="0.25">
      <c r="A10" s="4" t="s">
        <v>3</v>
      </c>
      <c r="B10" s="5" t="s">
        <v>60</v>
      </c>
      <c r="C10" s="5" t="s">
        <v>62</v>
      </c>
      <c r="D10" s="5" t="s">
        <v>680</v>
      </c>
      <c r="E10" s="5" t="s">
        <v>681</v>
      </c>
      <c r="F10" s="5" t="s">
        <v>641</v>
      </c>
      <c r="G10" s="5" t="s">
        <v>638</v>
      </c>
    </row>
    <row r="11" spans="1:7" x14ac:dyDescent="0.25">
      <c r="A11" s="2" t="s">
        <v>404</v>
      </c>
      <c r="B11" s="2">
        <v>230</v>
      </c>
      <c r="C11" s="2">
        <v>260</v>
      </c>
      <c r="D11" s="2">
        <v>5</v>
      </c>
      <c r="E11" s="2">
        <v>0</v>
      </c>
      <c r="F11" s="2">
        <f>D11-E11</f>
        <v>5</v>
      </c>
      <c r="G11" s="2" t="str">
        <f>IF(F11&lt;=2,"Reorder","Available")</f>
        <v>Available</v>
      </c>
    </row>
    <row r="12" spans="1:7" x14ac:dyDescent="0.25">
      <c r="A12" s="2" t="s">
        <v>1022</v>
      </c>
      <c r="B12" s="2">
        <v>210</v>
      </c>
      <c r="C12" s="2">
        <v>250</v>
      </c>
      <c r="D12" s="2">
        <v>6</v>
      </c>
      <c r="E12" s="2">
        <v>3</v>
      </c>
      <c r="F12" s="2">
        <f>D12-E12</f>
        <v>3</v>
      </c>
      <c r="G12" s="2" t="str">
        <f>IF(F12&lt;=2,"Reorder","Available")</f>
        <v>Available</v>
      </c>
    </row>
    <row r="13" spans="1:7" x14ac:dyDescent="0.25">
      <c r="A13" s="2" t="s">
        <v>403</v>
      </c>
      <c r="B13" s="2">
        <v>225</v>
      </c>
      <c r="C13" s="2">
        <v>250</v>
      </c>
      <c r="D13" s="2">
        <v>7</v>
      </c>
      <c r="E13" s="2">
        <v>0</v>
      </c>
      <c r="F13" s="2">
        <f t="shared" ref="F13:F18" si="2">D13-E13</f>
        <v>7</v>
      </c>
      <c r="G13" s="2" t="str">
        <f t="shared" ref="G13:G18" si="3">IF(F13&lt;=2,"Reorder","Available")</f>
        <v>Available</v>
      </c>
    </row>
    <row r="14" spans="1:7" x14ac:dyDescent="0.25">
      <c r="A14" s="2" t="s">
        <v>405</v>
      </c>
      <c r="B14" s="2">
        <v>180</v>
      </c>
      <c r="C14" s="2">
        <v>250</v>
      </c>
      <c r="D14" s="2">
        <v>7</v>
      </c>
      <c r="E14" s="2">
        <v>0</v>
      </c>
      <c r="F14" s="2">
        <f t="shared" si="2"/>
        <v>7</v>
      </c>
      <c r="G14" s="2" t="str">
        <f t="shared" si="3"/>
        <v>Available</v>
      </c>
    </row>
    <row r="15" spans="1:7" x14ac:dyDescent="0.25">
      <c r="A15" s="2" t="s">
        <v>406</v>
      </c>
      <c r="B15" s="2">
        <v>220</v>
      </c>
      <c r="C15" s="2">
        <v>280</v>
      </c>
      <c r="D15" s="2">
        <v>15</v>
      </c>
      <c r="E15" s="2">
        <v>0</v>
      </c>
      <c r="F15" s="2">
        <f t="shared" si="2"/>
        <v>15</v>
      </c>
      <c r="G15" s="2" t="str">
        <f t="shared" si="3"/>
        <v>Available</v>
      </c>
    </row>
    <row r="17" spans="1:7" s="18" customFormat="1" ht="15.75" x14ac:dyDescent="0.25">
      <c r="A17" s="18" t="s">
        <v>478</v>
      </c>
      <c r="B17" s="18">
        <v>200</v>
      </c>
      <c r="C17" s="18">
        <v>300</v>
      </c>
      <c r="D17" s="2">
        <v>6</v>
      </c>
      <c r="E17" s="2">
        <v>0</v>
      </c>
      <c r="F17" s="2">
        <f t="shared" si="2"/>
        <v>6</v>
      </c>
      <c r="G17" s="2" t="str">
        <f t="shared" si="3"/>
        <v>Available</v>
      </c>
    </row>
    <row r="18" spans="1:7" x14ac:dyDescent="0.25">
      <c r="A18" s="2" t="s">
        <v>577</v>
      </c>
      <c r="B18" s="2">
        <v>90</v>
      </c>
      <c r="C18" s="2">
        <v>130</v>
      </c>
      <c r="D18" s="2">
        <v>0</v>
      </c>
      <c r="E18" s="2">
        <v>0</v>
      </c>
      <c r="F18" s="2">
        <f t="shared" si="2"/>
        <v>0</v>
      </c>
      <c r="G18" s="2" t="str">
        <f t="shared" si="3"/>
        <v>Reorder</v>
      </c>
    </row>
  </sheetData>
  <mergeCells count="2">
    <mergeCell ref="A1:E1"/>
    <mergeCell ref="A9:E9"/>
  </mergeCells>
  <conditionalFormatting sqref="A1:E1 C11:C15 B11:B14 A2:C3 A4:A7 B4:C8 D3:E7">
    <cfRule type="expression" dxfId="170" priority="27">
      <formula>ROW()=CELL(ROW)</formula>
    </cfRule>
  </conditionalFormatting>
  <conditionalFormatting sqref="A9:E9 A10:C10">
    <cfRule type="expression" dxfId="169" priority="26">
      <formula>ROW()=CELL(ROW)</formula>
    </cfRule>
  </conditionalFormatting>
  <conditionalFormatting sqref="D2">
    <cfRule type="expression" dxfId="168" priority="25">
      <formula>ROW()=CELL(ROW)</formula>
    </cfRule>
  </conditionalFormatting>
  <conditionalFormatting sqref="G2">
    <cfRule type="containsText" dxfId="167" priority="24" operator="containsText" text="Reorder ">
      <formula>NOT(ISERROR(SEARCH("Reorder ",G2)))</formula>
    </cfRule>
  </conditionalFormatting>
  <conditionalFormatting sqref="G1:G1048576">
    <cfRule type="containsText" dxfId="166" priority="23" operator="containsText" text="Reorder">
      <formula>NOT(ISERROR(SEARCH("Reorder",G1)))</formula>
    </cfRule>
  </conditionalFormatting>
  <conditionalFormatting sqref="G2">
    <cfRule type="containsText" dxfId="165" priority="22" operator="containsText" text="Reorder">
      <formula>NOT(ISERROR(SEARCH("Reorder",G2)))</formula>
    </cfRule>
  </conditionalFormatting>
  <conditionalFormatting sqref="G2">
    <cfRule type="containsText" dxfId="164" priority="21" operator="containsText" text="Reorder">
      <formula>NOT(ISERROR(SEARCH("Reorder",G2)))</formula>
    </cfRule>
  </conditionalFormatting>
  <conditionalFormatting sqref="G2">
    <cfRule type="containsText" dxfId="163" priority="20" operator="containsText" text="Reorder">
      <formula>NOT(ISERROR(SEARCH("Reorder",G2)))</formula>
    </cfRule>
  </conditionalFormatting>
  <conditionalFormatting sqref="G2">
    <cfRule type="containsText" dxfId="162" priority="19" operator="containsText" text="Reorder">
      <formula>NOT(ISERROR(SEARCH("Reorder",G2)))</formula>
    </cfRule>
  </conditionalFormatting>
  <conditionalFormatting sqref="G2">
    <cfRule type="containsText" dxfId="161" priority="18" operator="containsText" text="Reorder">
      <formula>NOT(ISERROR(SEARCH("Reorder",G2)))</formula>
    </cfRule>
  </conditionalFormatting>
  <conditionalFormatting sqref="G2">
    <cfRule type="containsText" dxfId="160" priority="17" operator="containsText" text="Reorder">
      <formula>NOT(ISERROR(SEARCH("Reorder",G2)))</formula>
    </cfRule>
  </conditionalFormatting>
  <conditionalFormatting sqref="G2">
    <cfRule type="containsText" dxfId="159" priority="16" operator="containsText" text="Reorder">
      <formula>NOT(ISERROR(SEARCH("Reorder",G2)))</formula>
    </cfRule>
  </conditionalFormatting>
  <conditionalFormatting sqref="G2">
    <cfRule type="containsText" dxfId="158" priority="15" operator="containsText" text="Reorder">
      <formula>NOT(ISERROR(SEARCH("Reorder",G2)))</formula>
    </cfRule>
  </conditionalFormatting>
  <conditionalFormatting sqref="G2">
    <cfRule type="containsText" dxfId="157" priority="14" operator="containsText" text="Reorder">
      <formula>NOT(ISERROR(SEARCH("Reorder",G2)))</formula>
    </cfRule>
  </conditionalFormatting>
  <conditionalFormatting sqref="D10">
    <cfRule type="expression" dxfId="156" priority="13">
      <formula>ROW()=CELL(ROW)</formula>
    </cfRule>
  </conditionalFormatting>
  <conditionalFormatting sqref="G10">
    <cfRule type="containsText" dxfId="155" priority="12" operator="containsText" text="Reorder ">
      <formula>NOT(ISERROR(SEARCH("Reorder ",G10)))</formula>
    </cfRule>
  </conditionalFormatting>
  <conditionalFormatting sqref="G10">
    <cfRule type="containsText" dxfId="154" priority="11" operator="containsText" text="Reorder">
      <formula>NOT(ISERROR(SEARCH("Reorder",G10)))</formula>
    </cfRule>
  </conditionalFormatting>
  <conditionalFormatting sqref="G10">
    <cfRule type="containsText" dxfId="153" priority="10" operator="containsText" text="Reorder">
      <formula>NOT(ISERROR(SEARCH("Reorder",G10)))</formula>
    </cfRule>
  </conditionalFormatting>
  <conditionalFormatting sqref="G10">
    <cfRule type="containsText" dxfId="152" priority="9" operator="containsText" text="Reorder">
      <formula>NOT(ISERROR(SEARCH("Reorder",G10)))</formula>
    </cfRule>
  </conditionalFormatting>
  <conditionalFormatting sqref="G10">
    <cfRule type="containsText" dxfId="151" priority="8" operator="containsText" text="Reorder">
      <formula>NOT(ISERROR(SEARCH("Reorder",G10)))</formula>
    </cfRule>
  </conditionalFormatting>
  <conditionalFormatting sqref="G10">
    <cfRule type="containsText" dxfId="150" priority="7" operator="containsText" text="Reorder">
      <formula>NOT(ISERROR(SEARCH("Reorder",G10)))</formula>
    </cfRule>
  </conditionalFormatting>
  <conditionalFormatting sqref="G10">
    <cfRule type="containsText" dxfId="149" priority="6" operator="containsText" text="Reorder">
      <formula>NOT(ISERROR(SEARCH("Reorder",G10)))</formula>
    </cfRule>
  </conditionalFormatting>
  <conditionalFormatting sqref="G10">
    <cfRule type="containsText" dxfId="148" priority="5" operator="containsText" text="Reorder">
      <formula>NOT(ISERROR(SEARCH("Reorder",G10)))</formula>
    </cfRule>
  </conditionalFormatting>
  <conditionalFormatting sqref="G10">
    <cfRule type="containsText" dxfId="147" priority="4" operator="containsText" text="Reorder">
      <formula>NOT(ISERROR(SEARCH("Reorder",G10)))</formula>
    </cfRule>
  </conditionalFormatting>
  <conditionalFormatting sqref="G10">
    <cfRule type="containsText" dxfId="146" priority="3" operator="containsText" text="Reorder">
      <formula>NOT(ISERROR(SEARCH("Reorder",G10)))</formula>
    </cfRule>
  </conditionalFormatting>
  <conditionalFormatting sqref="G10">
    <cfRule type="containsText" dxfId="145" priority="2" operator="containsText" text="Reorder">
      <formula>NOT(ISERROR(SEARCH("Reorder",G10)))</formula>
    </cfRule>
  </conditionalFormatting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39"/>
  <sheetViews>
    <sheetView zoomScaleNormal="100" workbookViewId="0">
      <selection activeCell="I15" sqref="I15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6.7109375" style="2" customWidth="1"/>
    <col min="7" max="7" width="11.7109375" style="2" customWidth="1"/>
    <col min="8" max="16384" width="9.140625" style="2"/>
  </cols>
  <sheetData>
    <row r="1" spans="1:7" ht="44.25" customHeight="1" x14ac:dyDescent="0.25">
      <c r="A1" s="102" t="s">
        <v>407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60</v>
      </c>
      <c r="C2" s="5" t="s">
        <v>363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408</v>
      </c>
      <c r="B3" s="2">
        <v>420</v>
      </c>
      <c r="C3" s="2">
        <v>480</v>
      </c>
      <c r="D3" s="2">
        <v>2</v>
      </c>
      <c r="E3" s="2">
        <v>0</v>
      </c>
      <c r="F3" s="2">
        <f>D3-E3</f>
        <v>2</v>
      </c>
      <c r="G3" s="2" t="str">
        <f>IF(F3&lt;=1,"Reorder","Available")</f>
        <v>Available</v>
      </c>
    </row>
    <row r="4" spans="1:7" ht="15" customHeight="1" x14ac:dyDescent="0.25">
      <c r="A4" s="2" t="s">
        <v>409</v>
      </c>
      <c r="B4" s="2">
        <v>340</v>
      </c>
      <c r="C4" s="2">
        <v>390</v>
      </c>
      <c r="D4" s="2">
        <v>2</v>
      </c>
      <c r="E4" s="2">
        <v>0</v>
      </c>
      <c r="F4" s="2">
        <f t="shared" ref="F4:F39" si="0">D4-E4</f>
        <v>2</v>
      </c>
      <c r="G4" s="2" t="str">
        <f t="shared" ref="G4:G39" si="1">IF(F4&lt;=1,"Reorder","Available")</f>
        <v>Available</v>
      </c>
    </row>
    <row r="5" spans="1:7" ht="15" customHeight="1" x14ac:dyDescent="0.25">
      <c r="A5" s="2" t="s">
        <v>176</v>
      </c>
      <c r="B5" s="2">
        <v>340</v>
      </c>
      <c r="C5" s="2">
        <v>380</v>
      </c>
      <c r="D5" s="2">
        <v>4</v>
      </c>
      <c r="E5" s="2">
        <v>3</v>
      </c>
      <c r="F5" s="2">
        <f t="shared" si="0"/>
        <v>1</v>
      </c>
      <c r="G5" s="2" t="str">
        <f t="shared" si="1"/>
        <v>Reorder</v>
      </c>
    </row>
    <row r="6" spans="1:7" ht="15" customHeight="1" x14ac:dyDescent="0.25">
      <c r="A6" s="2" t="s">
        <v>234</v>
      </c>
      <c r="B6" s="2">
        <v>330</v>
      </c>
      <c r="C6" s="2">
        <v>390</v>
      </c>
      <c r="D6" s="2">
        <v>2</v>
      </c>
      <c r="E6" s="2">
        <v>2</v>
      </c>
      <c r="F6" s="2">
        <f t="shared" si="0"/>
        <v>0</v>
      </c>
      <c r="G6" s="2" t="str">
        <f t="shared" si="1"/>
        <v>Reorder</v>
      </c>
    </row>
    <row r="7" spans="1:7" ht="15" customHeight="1" x14ac:dyDescent="0.25">
      <c r="A7" s="2" t="s">
        <v>51</v>
      </c>
      <c r="B7" s="2">
        <v>330</v>
      </c>
      <c r="C7" s="2">
        <v>390</v>
      </c>
      <c r="D7" s="2">
        <v>3</v>
      </c>
      <c r="E7" s="2">
        <v>2</v>
      </c>
      <c r="F7" s="2">
        <f t="shared" si="0"/>
        <v>1</v>
      </c>
      <c r="G7" s="2" t="str">
        <f t="shared" si="1"/>
        <v>Reorder</v>
      </c>
    </row>
    <row r="8" spans="1:7" ht="15" customHeight="1" x14ac:dyDescent="0.25">
      <c r="A8" s="2" t="s">
        <v>52</v>
      </c>
      <c r="B8" s="2">
        <v>330</v>
      </c>
      <c r="C8" s="2">
        <v>390</v>
      </c>
      <c r="D8" s="2">
        <v>2</v>
      </c>
      <c r="E8" s="2">
        <v>0</v>
      </c>
      <c r="F8" s="2">
        <f t="shared" si="0"/>
        <v>2</v>
      </c>
      <c r="G8" s="2" t="str">
        <f t="shared" si="1"/>
        <v>Available</v>
      </c>
    </row>
    <row r="9" spans="1:7" ht="15" customHeight="1" x14ac:dyDescent="0.25">
      <c r="A9" s="2" t="s">
        <v>296</v>
      </c>
      <c r="B9" s="2">
        <v>330</v>
      </c>
      <c r="C9" s="2">
        <v>390</v>
      </c>
      <c r="D9" s="2">
        <v>5</v>
      </c>
      <c r="E9" s="2">
        <v>1</v>
      </c>
      <c r="F9" s="2">
        <f t="shared" si="0"/>
        <v>4</v>
      </c>
      <c r="G9" s="2" t="str">
        <f t="shared" si="1"/>
        <v>Available</v>
      </c>
    </row>
    <row r="10" spans="1:7" ht="15" customHeight="1" x14ac:dyDescent="0.25">
      <c r="A10" s="2" t="s">
        <v>565</v>
      </c>
      <c r="B10" s="2">
        <v>350</v>
      </c>
      <c r="C10" s="2">
        <v>400</v>
      </c>
      <c r="D10" s="2">
        <v>2</v>
      </c>
      <c r="E10" s="2">
        <v>0</v>
      </c>
      <c r="F10" s="2">
        <f t="shared" si="0"/>
        <v>2</v>
      </c>
      <c r="G10" s="2" t="str">
        <f t="shared" si="1"/>
        <v>Available</v>
      </c>
    </row>
    <row r="11" spans="1:7" ht="15" customHeight="1" x14ac:dyDescent="0.25">
      <c r="A11" s="2" t="s">
        <v>584</v>
      </c>
      <c r="B11" s="2">
        <v>335</v>
      </c>
      <c r="C11" s="2">
        <v>390</v>
      </c>
      <c r="D11" s="2">
        <v>1</v>
      </c>
      <c r="E11" s="2">
        <v>1</v>
      </c>
      <c r="F11" s="2">
        <f t="shared" si="0"/>
        <v>0</v>
      </c>
      <c r="G11" s="2" t="str">
        <f t="shared" si="1"/>
        <v>Reorder</v>
      </c>
    </row>
    <row r="12" spans="1:7" ht="15" customHeight="1" x14ac:dyDescent="0.25">
      <c r="A12" s="2" t="s">
        <v>999</v>
      </c>
      <c r="B12" s="2">
        <v>335</v>
      </c>
      <c r="C12" s="2">
        <v>390</v>
      </c>
      <c r="D12" s="2">
        <v>5</v>
      </c>
      <c r="E12" s="2">
        <v>0</v>
      </c>
      <c r="F12" s="2">
        <f t="shared" si="0"/>
        <v>5</v>
      </c>
      <c r="G12" s="2" t="str">
        <f t="shared" si="1"/>
        <v>Available</v>
      </c>
    </row>
    <row r="13" spans="1:7" x14ac:dyDescent="0.25">
      <c r="A13" s="2" t="s">
        <v>6</v>
      </c>
      <c r="B13" s="2">
        <v>320</v>
      </c>
      <c r="C13" s="2">
        <v>380</v>
      </c>
      <c r="D13" s="2">
        <v>4</v>
      </c>
      <c r="E13" s="2">
        <v>3</v>
      </c>
      <c r="F13" s="2">
        <f t="shared" si="0"/>
        <v>1</v>
      </c>
      <c r="G13" s="2" t="str">
        <f t="shared" si="1"/>
        <v>Reorder</v>
      </c>
    </row>
    <row r="14" spans="1:7" x14ac:dyDescent="0.25">
      <c r="A14" s="2" t="s">
        <v>5</v>
      </c>
      <c r="B14" s="2">
        <v>320</v>
      </c>
      <c r="C14" s="2">
        <v>380</v>
      </c>
      <c r="D14" s="2">
        <v>7</v>
      </c>
      <c r="E14" s="2">
        <v>3</v>
      </c>
      <c r="F14" s="2">
        <f t="shared" si="0"/>
        <v>4</v>
      </c>
      <c r="G14" s="2" t="str">
        <f t="shared" si="1"/>
        <v>Available</v>
      </c>
    </row>
    <row r="15" spans="1:7" x14ac:dyDescent="0.25">
      <c r="A15" s="2" t="s">
        <v>151</v>
      </c>
      <c r="B15" s="2">
        <v>320</v>
      </c>
      <c r="C15" s="2">
        <v>380</v>
      </c>
      <c r="D15" s="2">
        <v>5</v>
      </c>
      <c r="E15" s="2">
        <v>1</v>
      </c>
      <c r="F15" s="2">
        <f t="shared" si="0"/>
        <v>4</v>
      </c>
      <c r="G15" s="2" t="str">
        <f t="shared" si="1"/>
        <v>Available</v>
      </c>
    </row>
    <row r="16" spans="1:7" x14ac:dyDescent="0.25">
      <c r="A16" s="2" t="s">
        <v>1025</v>
      </c>
      <c r="B16" s="2">
        <v>330</v>
      </c>
      <c r="C16" s="2">
        <v>400</v>
      </c>
      <c r="D16" s="2">
        <v>1</v>
      </c>
      <c r="E16" s="2">
        <v>0</v>
      </c>
      <c r="F16" s="2">
        <f t="shared" si="0"/>
        <v>1</v>
      </c>
      <c r="G16" s="2" t="str">
        <f t="shared" si="1"/>
        <v>Reorder</v>
      </c>
    </row>
    <row r="17" spans="1:7" x14ac:dyDescent="0.25">
      <c r="A17" s="2" t="s">
        <v>17</v>
      </c>
      <c r="B17" s="2">
        <v>320</v>
      </c>
      <c r="C17" s="2">
        <v>380</v>
      </c>
      <c r="D17" s="2">
        <v>5</v>
      </c>
      <c r="E17" s="2">
        <v>1</v>
      </c>
      <c r="F17" s="2">
        <f t="shared" si="0"/>
        <v>4</v>
      </c>
      <c r="G17" s="2" t="str">
        <f t="shared" si="1"/>
        <v>Available</v>
      </c>
    </row>
    <row r="18" spans="1:7" x14ac:dyDescent="0.25">
      <c r="A18" s="2" t="s">
        <v>180</v>
      </c>
      <c r="B18" s="2">
        <v>320</v>
      </c>
      <c r="C18" s="2">
        <v>380</v>
      </c>
      <c r="D18" s="2">
        <v>2</v>
      </c>
      <c r="E18" s="2">
        <v>0</v>
      </c>
      <c r="F18" s="2">
        <f t="shared" si="0"/>
        <v>2</v>
      </c>
      <c r="G18" s="2" t="str">
        <f t="shared" si="1"/>
        <v>Available</v>
      </c>
    </row>
    <row r="19" spans="1:7" x14ac:dyDescent="0.25">
      <c r="A19" s="2" t="s">
        <v>758</v>
      </c>
      <c r="B19" s="2">
        <v>320</v>
      </c>
      <c r="C19" s="2">
        <v>380</v>
      </c>
      <c r="D19" s="2">
        <v>3</v>
      </c>
      <c r="E19" s="2">
        <v>0</v>
      </c>
      <c r="F19" s="2">
        <f t="shared" si="0"/>
        <v>3</v>
      </c>
      <c r="G19" s="2" t="str">
        <f t="shared" si="1"/>
        <v>Available</v>
      </c>
    </row>
    <row r="20" spans="1:7" s="7" customFormat="1" ht="15" customHeight="1" x14ac:dyDescent="0.25">
      <c r="A20" s="7" t="s">
        <v>759</v>
      </c>
      <c r="B20" s="2">
        <v>320</v>
      </c>
      <c r="C20" s="2">
        <v>380</v>
      </c>
      <c r="D20" s="2">
        <v>2</v>
      </c>
      <c r="E20" s="2">
        <v>0</v>
      </c>
      <c r="F20" s="2">
        <f t="shared" si="0"/>
        <v>2</v>
      </c>
      <c r="G20" s="2" t="str">
        <f t="shared" si="1"/>
        <v>Available</v>
      </c>
    </row>
    <row r="21" spans="1:7" x14ac:dyDescent="0.25">
      <c r="A21" s="2" t="s">
        <v>207</v>
      </c>
      <c r="B21" s="2">
        <v>320</v>
      </c>
      <c r="C21" s="2">
        <v>390</v>
      </c>
      <c r="D21" s="2">
        <v>3</v>
      </c>
      <c r="E21" s="2">
        <v>2</v>
      </c>
      <c r="F21" s="2">
        <f t="shared" si="0"/>
        <v>1</v>
      </c>
      <c r="G21" s="2" t="str">
        <f t="shared" si="1"/>
        <v>Reorder</v>
      </c>
    </row>
    <row r="22" spans="1:7" x14ac:dyDescent="0.25">
      <c r="A22" s="2" t="s">
        <v>47</v>
      </c>
      <c r="B22" s="2">
        <v>320</v>
      </c>
      <c r="C22" s="2">
        <v>380</v>
      </c>
      <c r="D22" s="2">
        <v>1</v>
      </c>
      <c r="E22" s="2">
        <v>0</v>
      </c>
      <c r="F22" s="2">
        <f t="shared" si="0"/>
        <v>1</v>
      </c>
      <c r="G22" s="2" t="str">
        <f t="shared" si="1"/>
        <v>Reorder</v>
      </c>
    </row>
    <row r="23" spans="1:7" x14ac:dyDescent="0.25">
      <c r="A23" s="2" t="s">
        <v>1024</v>
      </c>
      <c r="B23" s="2">
        <v>380</v>
      </c>
      <c r="C23" s="2">
        <v>450</v>
      </c>
      <c r="D23" s="2">
        <v>1</v>
      </c>
      <c r="E23" s="2">
        <v>0</v>
      </c>
      <c r="F23" s="2">
        <f t="shared" si="0"/>
        <v>1</v>
      </c>
      <c r="G23" s="2" t="str">
        <f t="shared" si="1"/>
        <v>Reorder</v>
      </c>
    </row>
    <row r="24" spans="1:7" x14ac:dyDescent="0.25">
      <c r="A24" s="2" t="s">
        <v>760</v>
      </c>
      <c r="B24" s="2">
        <v>350</v>
      </c>
      <c r="C24" s="2">
        <v>400</v>
      </c>
      <c r="D24" s="2">
        <v>4</v>
      </c>
      <c r="E24" s="2">
        <v>1</v>
      </c>
      <c r="F24" s="2">
        <f t="shared" si="0"/>
        <v>3</v>
      </c>
      <c r="G24" s="2" t="str">
        <f t="shared" si="1"/>
        <v>Available</v>
      </c>
    </row>
    <row r="25" spans="1:7" x14ac:dyDescent="0.25">
      <c r="A25" s="2" t="s">
        <v>179</v>
      </c>
      <c r="B25" s="2">
        <v>320</v>
      </c>
      <c r="C25" s="2">
        <v>380</v>
      </c>
      <c r="D25" s="2">
        <v>3</v>
      </c>
      <c r="E25" s="2">
        <v>0</v>
      </c>
      <c r="F25" s="2">
        <f t="shared" si="0"/>
        <v>3</v>
      </c>
      <c r="G25" s="2" t="str">
        <f t="shared" si="1"/>
        <v>Available</v>
      </c>
    </row>
    <row r="26" spans="1:7" x14ac:dyDescent="0.25">
      <c r="A26" s="2" t="s">
        <v>12</v>
      </c>
      <c r="B26" s="2">
        <v>320</v>
      </c>
      <c r="C26" s="2">
        <v>380</v>
      </c>
      <c r="D26" s="2">
        <v>7</v>
      </c>
      <c r="E26" s="2">
        <v>3</v>
      </c>
      <c r="F26" s="2">
        <f t="shared" si="0"/>
        <v>4</v>
      </c>
      <c r="G26" s="2" t="str">
        <f t="shared" si="1"/>
        <v>Available</v>
      </c>
    </row>
    <row r="27" spans="1:7" x14ac:dyDescent="0.25">
      <c r="A27" s="2" t="s">
        <v>385</v>
      </c>
      <c r="B27" s="2">
        <v>320</v>
      </c>
      <c r="C27" s="2">
        <v>380</v>
      </c>
      <c r="D27" s="2">
        <v>3</v>
      </c>
      <c r="E27" s="2">
        <v>0</v>
      </c>
      <c r="F27" s="2">
        <f t="shared" si="0"/>
        <v>3</v>
      </c>
      <c r="G27" s="2" t="str">
        <f t="shared" si="1"/>
        <v>Available</v>
      </c>
    </row>
    <row r="28" spans="1:7" x14ac:dyDescent="0.25">
      <c r="A28" s="2" t="s">
        <v>48</v>
      </c>
      <c r="B28" s="2">
        <v>320</v>
      </c>
      <c r="C28" s="2">
        <v>380</v>
      </c>
      <c r="D28" s="2">
        <v>7</v>
      </c>
      <c r="E28" s="2">
        <v>3</v>
      </c>
      <c r="F28" s="2">
        <f t="shared" si="0"/>
        <v>4</v>
      </c>
      <c r="G28" s="2" t="str">
        <f t="shared" si="1"/>
        <v>Available</v>
      </c>
    </row>
    <row r="29" spans="1:7" x14ac:dyDescent="0.25">
      <c r="A29" s="2" t="s">
        <v>1075</v>
      </c>
      <c r="B29" s="2">
        <v>350</v>
      </c>
      <c r="C29" s="2">
        <v>400</v>
      </c>
      <c r="D29" s="2">
        <v>2</v>
      </c>
      <c r="E29" s="2">
        <v>0</v>
      </c>
      <c r="F29" s="2">
        <f t="shared" si="0"/>
        <v>2</v>
      </c>
      <c r="G29" s="2" t="str">
        <f t="shared" si="1"/>
        <v>Available</v>
      </c>
    </row>
    <row r="30" spans="1:7" x14ac:dyDescent="0.25">
      <c r="A30" s="2" t="s">
        <v>49</v>
      </c>
      <c r="B30" s="2">
        <v>320</v>
      </c>
      <c r="C30" s="2">
        <v>380</v>
      </c>
      <c r="D30" s="2">
        <v>3</v>
      </c>
      <c r="E30" s="2">
        <v>1</v>
      </c>
      <c r="F30" s="2">
        <f t="shared" si="0"/>
        <v>2</v>
      </c>
      <c r="G30" s="2" t="str">
        <f t="shared" si="1"/>
        <v>Available</v>
      </c>
    </row>
    <row r="31" spans="1:7" x14ac:dyDescent="0.25">
      <c r="A31" s="2" t="s">
        <v>111</v>
      </c>
      <c r="B31" s="2">
        <v>320</v>
      </c>
      <c r="C31" s="2">
        <v>380</v>
      </c>
      <c r="D31" s="2">
        <v>3</v>
      </c>
      <c r="E31" s="2">
        <v>2</v>
      </c>
      <c r="F31" s="2">
        <f t="shared" si="0"/>
        <v>1</v>
      </c>
      <c r="G31" s="2" t="str">
        <f t="shared" si="1"/>
        <v>Reorder</v>
      </c>
    </row>
    <row r="32" spans="1:7" x14ac:dyDescent="0.25">
      <c r="A32" s="2" t="s">
        <v>761</v>
      </c>
      <c r="B32" s="2">
        <v>320</v>
      </c>
      <c r="C32" s="2">
        <v>380</v>
      </c>
      <c r="D32" s="2">
        <v>4</v>
      </c>
      <c r="E32" s="2">
        <v>0</v>
      </c>
      <c r="F32" s="2">
        <f t="shared" si="0"/>
        <v>4</v>
      </c>
      <c r="G32" s="2" t="str">
        <f t="shared" si="1"/>
        <v>Available</v>
      </c>
    </row>
    <row r="33" spans="1:7" x14ac:dyDescent="0.25">
      <c r="A33" s="2" t="s">
        <v>762</v>
      </c>
      <c r="B33" s="2">
        <v>320</v>
      </c>
      <c r="C33" s="2">
        <v>380</v>
      </c>
      <c r="D33" s="2">
        <v>4</v>
      </c>
      <c r="E33" s="2">
        <v>1</v>
      </c>
      <c r="F33" s="2">
        <f t="shared" si="0"/>
        <v>3</v>
      </c>
      <c r="G33" s="2" t="str">
        <f t="shared" si="1"/>
        <v>Available</v>
      </c>
    </row>
    <row r="34" spans="1:7" x14ac:dyDescent="0.25">
      <c r="A34" s="2" t="s">
        <v>846</v>
      </c>
      <c r="B34" s="2">
        <v>320</v>
      </c>
      <c r="C34" s="2">
        <v>380</v>
      </c>
      <c r="D34" s="2">
        <v>2</v>
      </c>
      <c r="E34" s="2">
        <v>1</v>
      </c>
      <c r="F34" s="2">
        <f t="shared" si="0"/>
        <v>1</v>
      </c>
      <c r="G34" s="2" t="str">
        <f t="shared" si="1"/>
        <v>Reorder</v>
      </c>
    </row>
    <row r="35" spans="1:7" x14ac:dyDescent="0.25">
      <c r="A35" s="2" t="s">
        <v>847</v>
      </c>
      <c r="B35" s="2">
        <v>320</v>
      </c>
      <c r="C35" s="2">
        <v>380</v>
      </c>
      <c r="D35" s="2">
        <v>3</v>
      </c>
      <c r="E35" s="2">
        <v>3</v>
      </c>
      <c r="F35" s="2">
        <f t="shared" si="0"/>
        <v>0</v>
      </c>
      <c r="G35" s="2" t="str">
        <f t="shared" si="1"/>
        <v>Reorder</v>
      </c>
    </row>
    <row r="36" spans="1:7" x14ac:dyDescent="0.25">
      <c r="A36" s="2" t="s">
        <v>260</v>
      </c>
      <c r="B36" s="2">
        <v>320</v>
      </c>
      <c r="C36" s="2">
        <v>380</v>
      </c>
      <c r="D36" s="2">
        <v>1</v>
      </c>
      <c r="E36" s="2">
        <v>0</v>
      </c>
      <c r="F36" s="2">
        <f t="shared" si="0"/>
        <v>1</v>
      </c>
      <c r="G36" s="2" t="str">
        <f t="shared" si="1"/>
        <v>Reorder</v>
      </c>
    </row>
    <row r="37" spans="1:7" x14ac:dyDescent="0.25">
      <c r="A37" s="2" t="s">
        <v>850</v>
      </c>
      <c r="B37" s="2">
        <v>500</v>
      </c>
      <c r="C37" s="2">
        <v>650</v>
      </c>
      <c r="D37" s="2">
        <v>1</v>
      </c>
      <c r="E37" s="2">
        <v>0</v>
      </c>
      <c r="F37" s="2">
        <f t="shared" si="0"/>
        <v>1</v>
      </c>
      <c r="G37" s="2" t="str">
        <f t="shared" si="1"/>
        <v>Reorder</v>
      </c>
    </row>
    <row r="38" spans="1:7" x14ac:dyDescent="0.25">
      <c r="A38" s="2" t="s">
        <v>868</v>
      </c>
      <c r="B38" s="2">
        <v>500</v>
      </c>
      <c r="C38" s="2">
        <v>650</v>
      </c>
      <c r="D38" s="2">
        <v>3</v>
      </c>
      <c r="E38" s="2">
        <v>1</v>
      </c>
      <c r="F38" s="2">
        <f t="shared" si="0"/>
        <v>2</v>
      </c>
      <c r="G38" s="2" t="str">
        <f t="shared" si="1"/>
        <v>Available</v>
      </c>
    </row>
    <row r="39" spans="1:7" x14ac:dyDescent="0.25">
      <c r="A39" s="2" t="s">
        <v>39</v>
      </c>
      <c r="B39" s="2">
        <v>320</v>
      </c>
      <c r="C39" s="2">
        <v>380</v>
      </c>
      <c r="D39" s="2">
        <v>3</v>
      </c>
      <c r="E39" s="2">
        <v>0</v>
      </c>
      <c r="F39" s="2">
        <f t="shared" si="0"/>
        <v>3</v>
      </c>
      <c r="G39" s="2" t="str">
        <f t="shared" si="1"/>
        <v>Available</v>
      </c>
    </row>
  </sheetData>
  <mergeCells count="1">
    <mergeCell ref="A1:E1"/>
  </mergeCells>
  <conditionalFormatting sqref="A1:E1 A4:C4 A5:A10 A20 A3:E3 A2:C2 D4:E5 B5:C33 D6:D33 E6:E39">
    <cfRule type="expression" dxfId="144" priority="16">
      <formula>ROW()=CELL(ROW)</formula>
    </cfRule>
  </conditionalFormatting>
  <conditionalFormatting sqref="D2">
    <cfRule type="expression" dxfId="143" priority="14">
      <formula>ROW()=CELL(ROW)</formula>
    </cfRule>
  </conditionalFormatting>
  <conditionalFormatting sqref="G2">
    <cfRule type="containsText" dxfId="142" priority="13" operator="containsText" text="Reorder ">
      <formula>NOT(ISERROR(SEARCH("Reorder ",G2)))</formula>
    </cfRule>
  </conditionalFormatting>
  <conditionalFormatting sqref="G2:G38">
    <cfRule type="containsText" dxfId="141" priority="12" operator="containsText" text="Reorder">
      <formula>NOT(ISERROR(SEARCH("Reorder",G2)))</formula>
    </cfRule>
  </conditionalFormatting>
  <conditionalFormatting sqref="G2">
    <cfRule type="containsText" dxfId="140" priority="11" operator="containsText" text="Reorder">
      <formula>NOT(ISERROR(SEARCH("Reorder",G2)))</formula>
    </cfRule>
  </conditionalFormatting>
  <conditionalFormatting sqref="G2">
    <cfRule type="containsText" dxfId="139" priority="10" operator="containsText" text="Reorder">
      <formula>NOT(ISERROR(SEARCH("Reorder",G2)))</formula>
    </cfRule>
  </conditionalFormatting>
  <conditionalFormatting sqref="G2">
    <cfRule type="containsText" dxfId="138" priority="9" operator="containsText" text="Reorder">
      <formula>NOT(ISERROR(SEARCH("Reorder",G2)))</formula>
    </cfRule>
  </conditionalFormatting>
  <conditionalFormatting sqref="G2">
    <cfRule type="containsText" dxfId="137" priority="8" operator="containsText" text="Reorder">
      <formula>NOT(ISERROR(SEARCH("Reorder",G2)))</formula>
    </cfRule>
  </conditionalFormatting>
  <conditionalFormatting sqref="G2">
    <cfRule type="containsText" dxfId="136" priority="7" operator="containsText" text="Reorder">
      <formula>NOT(ISERROR(SEARCH("Reorder",G2)))</formula>
    </cfRule>
  </conditionalFormatting>
  <conditionalFormatting sqref="G2">
    <cfRule type="containsText" dxfId="135" priority="6" operator="containsText" text="Reorder">
      <formula>NOT(ISERROR(SEARCH("Reorder",G2)))</formula>
    </cfRule>
  </conditionalFormatting>
  <conditionalFormatting sqref="G2">
    <cfRule type="containsText" dxfId="134" priority="5" operator="containsText" text="Reorder">
      <formula>NOT(ISERROR(SEARCH("Reorder",G2)))</formula>
    </cfRule>
  </conditionalFormatting>
  <conditionalFormatting sqref="G2">
    <cfRule type="containsText" dxfId="133" priority="4" operator="containsText" text="Reorder">
      <formula>NOT(ISERROR(SEARCH("Reorder",G2)))</formula>
    </cfRule>
  </conditionalFormatting>
  <conditionalFormatting sqref="G2">
    <cfRule type="containsText" dxfId="132" priority="3" operator="containsText" text="Reorder">
      <formula>NOT(ISERROR(SEARCH("Reorder",G2)))</formula>
    </cfRule>
  </conditionalFormatting>
  <conditionalFormatting sqref="G2">
    <cfRule type="containsText" dxfId="131" priority="2" operator="containsText" text="Reorder">
      <formula>NOT(ISERROR(SEARCH("Reorder",G2)))</formula>
    </cfRule>
  </conditionalFormatting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21"/>
  <sheetViews>
    <sheetView workbookViewId="0">
      <selection sqref="A1:E1"/>
    </sheetView>
  </sheetViews>
  <sheetFormatPr defaultRowHeight="15" x14ac:dyDescent="0.25"/>
  <cols>
    <col min="1" max="1" width="27.140625" style="2" customWidth="1"/>
    <col min="2" max="2" width="21.570312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8.140625" style="2" customWidth="1"/>
    <col min="7" max="7" width="11.42578125" style="2" bestFit="1" customWidth="1"/>
    <col min="8" max="16384" width="9.140625" style="2"/>
  </cols>
  <sheetData>
    <row r="1" spans="1:7" ht="44.25" customHeight="1" x14ac:dyDescent="0.25">
      <c r="A1" s="102" t="s">
        <v>653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1050</v>
      </c>
      <c r="C2" s="5" t="s">
        <v>1051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5</v>
      </c>
      <c r="B3" s="2">
        <v>400</v>
      </c>
      <c r="C3" s="2">
        <v>500</v>
      </c>
      <c r="D3" s="2">
        <v>3</v>
      </c>
      <c r="E3" s="2">
        <v>1</v>
      </c>
      <c r="F3" s="2">
        <f>D3-E3</f>
        <v>2</v>
      </c>
      <c r="G3" s="2" t="str">
        <f>IF(F3&lt;=1,"Reorder","Available")</f>
        <v>Available</v>
      </c>
    </row>
    <row r="4" spans="1:7" ht="15" customHeight="1" x14ac:dyDescent="0.25">
      <c r="A4" s="2" t="s">
        <v>151</v>
      </c>
      <c r="B4" s="2">
        <v>200</v>
      </c>
      <c r="C4" s="2">
        <v>300</v>
      </c>
      <c r="D4" s="2">
        <v>2</v>
      </c>
      <c r="E4" s="2">
        <v>2</v>
      </c>
      <c r="F4" s="2">
        <f t="shared" ref="F4:F9" si="0">D4-E4</f>
        <v>0</v>
      </c>
      <c r="G4" s="2" t="str">
        <f t="shared" ref="G4:G9" si="1">IF(F4&lt;=1,"Reorder","Available")</f>
        <v>Reorder</v>
      </c>
    </row>
    <row r="5" spans="1:7" ht="15" customHeight="1" x14ac:dyDescent="0.25">
      <c r="A5" s="2" t="s">
        <v>1034</v>
      </c>
      <c r="B5" s="2">
        <v>200</v>
      </c>
      <c r="C5" s="2">
        <v>300</v>
      </c>
      <c r="D5" s="2">
        <v>2</v>
      </c>
      <c r="E5" s="2">
        <v>0</v>
      </c>
      <c r="F5" s="2">
        <f t="shared" si="0"/>
        <v>2</v>
      </c>
      <c r="G5" s="2" t="str">
        <f t="shared" si="1"/>
        <v>Available</v>
      </c>
    </row>
    <row r="6" spans="1:7" ht="15" customHeight="1" x14ac:dyDescent="0.25">
      <c r="A6" s="2" t="s">
        <v>179</v>
      </c>
      <c r="B6" s="2">
        <v>290</v>
      </c>
      <c r="C6" s="2">
        <v>350</v>
      </c>
      <c r="D6" s="2">
        <v>4</v>
      </c>
      <c r="E6" s="2">
        <v>0</v>
      </c>
      <c r="F6" s="2">
        <f t="shared" si="0"/>
        <v>4</v>
      </c>
      <c r="G6" s="2" t="str">
        <f t="shared" si="1"/>
        <v>Available</v>
      </c>
    </row>
    <row r="7" spans="1:7" ht="15" customHeight="1" x14ac:dyDescent="0.25">
      <c r="A7" s="2" t="s">
        <v>115</v>
      </c>
      <c r="B7" s="2">
        <v>300</v>
      </c>
      <c r="C7" s="2">
        <v>400</v>
      </c>
      <c r="D7" s="2">
        <v>3</v>
      </c>
      <c r="E7" s="2">
        <v>0</v>
      </c>
      <c r="F7" s="2">
        <f t="shared" si="0"/>
        <v>3</v>
      </c>
      <c r="G7" s="2" t="str">
        <f t="shared" si="1"/>
        <v>Available</v>
      </c>
    </row>
    <row r="8" spans="1:7" ht="15" customHeight="1" x14ac:dyDescent="0.25">
      <c r="A8" s="2" t="s">
        <v>17</v>
      </c>
      <c r="B8" s="2">
        <v>400</v>
      </c>
      <c r="C8" s="2">
        <v>480</v>
      </c>
      <c r="D8" s="2">
        <v>3</v>
      </c>
      <c r="E8" s="2">
        <v>0</v>
      </c>
      <c r="F8" s="2">
        <f t="shared" si="0"/>
        <v>3</v>
      </c>
      <c r="G8" s="2" t="str">
        <f t="shared" si="1"/>
        <v>Available</v>
      </c>
    </row>
    <row r="9" spans="1:7" ht="15" customHeight="1" x14ac:dyDescent="0.25">
      <c r="A9" s="2" t="s">
        <v>116</v>
      </c>
      <c r="B9" s="2">
        <v>350</v>
      </c>
      <c r="C9" s="2">
        <v>450</v>
      </c>
      <c r="D9" s="2">
        <v>4</v>
      </c>
      <c r="E9" s="2">
        <v>0</v>
      </c>
      <c r="F9" s="2">
        <f t="shared" si="0"/>
        <v>4</v>
      </c>
      <c r="G9" s="2" t="str">
        <f t="shared" si="1"/>
        <v>Available</v>
      </c>
    </row>
    <row r="10" spans="1:7" s="18" customFormat="1" ht="15" customHeight="1" x14ac:dyDescent="0.25"/>
    <row r="11" spans="1:7" ht="15" customHeight="1" x14ac:dyDescent="0.25"/>
    <row r="12" spans="1:7" ht="15" customHeight="1" x14ac:dyDescent="0.25"/>
    <row r="20" spans="1:5" ht="15" customHeight="1" x14ac:dyDescent="0.25">
      <c r="A20" s="102"/>
      <c r="B20" s="72"/>
      <c r="C20" s="72"/>
      <c r="D20" s="72"/>
      <c r="E20" s="72"/>
    </row>
    <row r="21" spans="1:5" s="7" customFormat="1" ht="15" customHeight="1" x14ac:dyDescent="0.25">
      <c r="A21" s="4"/>
      <c r="B21" s="5"/>
      <c r="C21" s="5"/>
      <c r="D21" s="2"/>
      <c r="E21" s="2"/>
    </row>
  </sheetData>
  <mergeCells count="2">
    <mergeCell ref="A1:E1"/>
    <mergeCell ref="A20:E20"/>
  </mergeCells>
  <conditionalFormatting sqref="A1:E1 A6:A11 A4:C5 B6:C18 A3:E3 A2:C2 D4:E11">
    <cfRule type="expression" dxfId="130" priority="16">
      <formula>ROW()=CELL(ROW)</formula>
    </cfRule>
  </conditionalFormatting>
  <conditionalFormatting sqref="A20:E21">
    <cfRule type="expression" dxfId="129" priority="15">
      <formula>ROW()=CELL(ROW)</formula>
    </cfRule>
  </conditionalFormatting>
  <conditionalFormatting sqref="D2">
    <cfRule type="expression" dxfId="128" priority="14">
      <formula>ROW()=CELL(ROW)</formula>
    </cfRule>
  </conditionalFormatting>
  <conditionalFormatting sqref="G2">
    <cfRule type="containsText" dxfId="127" priority="13" operator="containsText" text="Reorder ">
      <formula>NOT(ISERROR(SEARCH("Reorder ",G2)))</formula>
    </cfRule>
  </conditionalFormatting>
  <conditionalFormatting sqref="G2">
    <cfRule type="containsText" dxfId="126" priority="12" operator="containsText" text="Reorder">
      <formula>NOT(ISERROR(SEARCH("Reorder",G2)))</formula>
    </cfRule>
  </conditionalFormatting>
  <conditionalFormatting sqref="G2">
    <cfRule type="containsText" dxfId="125" priority="11" operator="containsText" text="Reorder">
      <formula>NOT(ISERROR(SEARCH("Reorder",G2)))</formula>
    </cfRule>
  </conditionalFormatting>
  <conditionalFormatting sqref="G2">
    <cfRule type="containsText" dxfId="124" priority="10" operator="containsText" text="Reorder">
      <formula>NOT(ISERROR(SEARCH("Reorder",G2)))</formula>
    </cfRule>
  </conditionalFormatting>
  <conditionalFormatting sqref="G2">
    <cfRule type="containsText" dxfId="123" priority="9" operator="containsText" text="Reorder">
      <formula>NOT(ISERROR(SEARCH("Reorder",G2)))</formula>
    </cfRule>
  </conditionalFormatting>
  <conditionalFormatting sqref="G2">
    <cfRule type="containsText" dxfId="122" priority="8" operator="containsText" text="Reorder">
      <formula>NOT(ISERROR(SEARCH("Reorder",G2)))</formula>
    </cfRule>
  </conditionalFormatting>
  <conditionalFormatting sqref="G2">
    <cfRule type="containsText" dxfId="121" priority="7" operator="containsText" text="Reorder">
      <formula>NOT(ISERROR(SEARCH("Reorder",G2)))</formula>
    </cfRule>
  </conditionalFormatting>
  <conditionalFormatting sqref="G2">
    <cfRule type="containsText" dxfId="120" priority="6" operator="containsText" text="Reorder">
      <formula>NOT(ISERROR(SEARCH("Reorder",G2)))</formula>
    </cfRule>
  </conditionalFormatting>
  <conditionalFormatting sqref="G2">
    <cfRule type="containsText" dxfId="119" priority="5" operator="containsText" text="Reorder">
      <formula>NOT(ISERROR(SEARCH("Reorder",G2)))</formula>
    </cfRule>
  </conditionalFormatting>
  <conditionalFormatting sqref="G2">
    <cfRule type="containsText" dxfId="118" priority="4" operator="containsText" text="Reorder">
      <formula>NOT(ISERROR(SEARCH("Reorder",G2)))</formula>
    </cfRule>
  </conditionalFormatting>
  <conditionalFormatting sqref="G2">
    <cfRule type="containsText" dxfId="117" priority="3" operator="containsText" text="Reorder">
      <formula>NOT(ISERROR(SEARCH("Reorder",G2)))</formula>
    </cfRule>
  </conditionalFormatting>
  <conditionalFormatting sqref="G2">
    <cfRule type="containsText" dxfId="116" priority="2" operator="containsText" text="Reorder">
      <formula>NOT(ISERROR(SEARCH("Reorder",G2)))</formula>
    </cfRule>
  </conditionalFormatting>
  <conditionalFormatting sqref="G1:G1048576">
    <cfRule type="containsText" dxfId="115" priority="1" operator="containsText" text="Reorder">
      <formula>NOT(ISERROR(SEARCH("Reorder",G1)))</formula>
    </cfRule>
  </conditionalFormatting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20"/>
  <sheetViews>
    <sheetView workbookViewId="0">
      <selection sqref="A1:E1"/>
    </sheetView>
  </sheetViews>
  <sheetFormatPr defaultRowHeight="15" x14ac:dyDescent="0.25"/>
  <cols>
    <col min="1" max="1" width="36" style="3" customWidth="1"/>
    <col min="2" max="2" width="18.85546875" style="16" customWidth="1"/>
    <col min="3" max="3" width="18.5703125" style="16" customWidth="1"/>
    <col min="4" max="4" width="9.140625" style="3"/>
    <col min="5" max="5" width="13.42578125" style="3" customWidth="1"/>
    <col min="6" max="16384" width="9.140625" style="3"/>
  </cols>
  <sheetData>
    <row r="1" spans="1:5" ht="44.25" customHeight="1" x14ac:dyDescent="0.25">
      <c r="A1" s="102" t="s">
        <v>410</v>
      </c>
      <c r="B1" s="72"/>
      <c r="C1" s="72"/>
      <c r="D1" s="72"/>
      <c r="E1" s="72"/>
    </row>
    <row r="2" spans="1:5" s="6" customFormat="1" ht="61.5" customHeight="1" x14ac:dyDescent="0.25">
      <c r="A2" s="4" t="s">
        <v>3</v>
      </c>
      <c r="B2" s="5" t="s">
        <v>60</v>
      </c>
      <c r="C2" s="5" t="s">
        <v>363</v>
      </c>
      <c r="D2" s="3"/>
      <c r="E2" s="3"/>
    </row>
    <row r="3" spans="1:5" ht="15" customHeight="1" x14ac:dyDescent="0.25">
      <c r="A3" s="3" t="s">
        <v>248</v>
      </c>
      <c r="B3" s="2">
        <v>675</v>
      </c>
      <c r="C3" s="2">
        <v>800</v>
      </c>
    </row>
    <row r="4" spans="1:5" ht="15" customHeight="1" x14ac:dyDescent="0.25">
      <c r="A4" s="3" t="s">
        <v>152</v>
      </c>
      <c r="B4" s="2">
        <v>750</v>
      </c>
      <c r="C4" s="2">
        <v>900</v>
      </c>
    </row>
    <row r="5" spans="1:5" ht="15" customHeight="1" x14ac:dyDescent="0.25">
      <c r="A5" s="3" t="s">
        <v>17</v>
      </c>
      <c r="B5" s="2">
        <v>825</v>
      </c>
      <c r="C5" s="2">
        <v>925</v>
      </c>
    </row>
    <row r="6" spans="1:5" ht="15" customHeight="1" x14ac:dyDescent="0.25">
      <c r="A6" s="3" t="s">
        <v>109</v>
      </c>
      <c r="B6" s="2">
        <v>725</v>
      </c>
      <c r="C6" s="2">
        <v>825</v>
      </c>
    </row>
    <row r="7" spans="1:5" ht="15" customHeight="1" x14ac:dyDescent="0.25">
      <c r="A7" s="3" t="s">
        <v>12</v>
      </c>
      <c r="B7" s="2">
        <v>725</v>
      </c>
      <c r="C7" s="2">
        <v>825</v>
      </c>
    </row>
    <row r="8" spans="1:5" ht="15" customHeight="1" x14ac:dyDescent="0.25">
      <c r="A8" s="3" t="s">
        <v>111</v>
      </c>
      <c r="B8" s="2">
        <v>525</v>
      </c>
      <c r="C8" s="2">
        <v>625</v>
      </c>
    </row>
    <row r="9" spans="1:5" s="17" customFormat="1" ht="15" customHeight="1" x14ac:dyDescent="0.25">
      <c r="A9" s="3" t="s">
        <v>118</v>
      </c>
      <c r="B9" s="2">
        <v>825</v>
      </c>
      <c r="C9" s="2">
        <v>925</v>
      </c>
      <c r="D9" s="3"/>
    </row>
    <row r="10" spans="1:5" ht="15" customHeight="1" x14ac:dyDescent="0.25">
      <c r="A10" s="3" t="s">
        <v>362</v>
      </c>
      <c r="B10" s="2">
        <v>935</v>
      </c>
      <c r="C10" s="2">
        <v>1050</v>
      </c>
    </row>
    <row r="11" spans="1:5" ht="15" customHeight="1" x14ac:dyDescent="0.25">
      <c r="B11" s="2"/>
      <c r="C11" s="2"/>
    </row>
    <row r="12" spans="1:5" x14ac:dyDescent="0.25">
      <c r="B12" s="2"/>
      <c r="C12" s="2"/>
    </row>
    <row r="13" spans="1:5" x14ac:dyDescent="0.25">
      <c r="B13" s="2"/>
      <c r="C13" s="2"/>
    </row>
    <row r="14" spans="1:5" x14ac:dyDescent="0.25">
      <c r="B14" s="2"/>
      <c r="C14" s="2"/>
    </row>
    <row r="15" spans="1:5" x14ac:dyDescent="0.25">
      <c r="B15" s="2"/>
      <c r="C15" s="2"/>
    </row>
    <row r="16" spans="1:5" x14ac:dyDescent="0.25">
      <c r="B16" s="2"/>
      <c r="C16" s="2"/>
    </row>
    <row r="17" spans="1:5" x14ac:dyDescent="0.25">
      <c r="B17" s="2"/>
      <c r="C17" s="2"/>
    </row>
    <row r="19" spans="1:5" ht="15" customHeight="1" x14ac:dyDescent="0.25">
      <c r="A19" s="102"/>
      <c r="B19" s="72"/>
      <c r="C19" s="72"/>
      <c r="D19" s="72"/>
      <c r="E19" s="72"/>
    </row>
    <row r="20" spans="1:5" s="6" customFormat="1" ht="15" customHeight="1" x14ac:dyDescent="0.25">
      <c r="A20" s="4"/>
      <c r="B20" s="5"/>
      <c r="C20" s="5"/>
      <c r="D20" s="3"/>
      <c r="E20" s="3"/>
    </row>
  </sheetData>
  <mergeCells count="2">
    <mergeCell ref="A1:E1"/>
    <mergeCell ref="A19:E19"/>
  </mergeCells>
  <conditionalFormatting sqref="A1:E3 A5:A10 D4:E10 A4:C4 B5:C17">
    <cfRule type="expression" dxfId="114" priority="2">
      <formula>ROW()=CELL(ROW)</formula>
    </cfRule>
  </conditionalFormatting>
  <conditionalFormatting sqref="A19:E20">
    <cfRule type="expression" dxfId="113" priority="1">
      <formula>ROW()=CELL(ROW)</formula>
    </cfRule>
  </conditionalFormatting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9"/>
  <sheetViews>
    <sheetView workbookViewId="0">
      <selection activeCell="E11" sqref="E11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8" style="2" customWidth="1"/>
    <col min="7" max="7" width="12.5703125" style="2" customWidth="1"/>
    <col min="8" max="16384" width="9.140625" style="2"/>
  </cols>
  <sheetData>
    <row r="1" spans="1:7" ht="44.25" customHeight="1" x14ac:dyDescent="0.25">
      <c r="A1" s="102" t="s">
        <v>991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60</v>
      </c>
      <c r="C2" s="5" t="s">
        <v>363</v>
      </c>
      <c r="D2" s="5" t="s">
        <v>680</v>
      </c>
      <c r="E2" s="5" t="s">
        <v>968</v>
      </c>
      <c r="F2" s="5" t="s">
        <v>641</v>
      </c>
      <c r="G2" s="5" t="s">
        <v>638</v>
      </c>
    </row>
    <row r="3" spans="1:7" ht="15" customHeight="1" x14ac:dyDescent="0.25">
      <c r="A3" s="2" t="s">
        <v>411</v>
      </c>
      <c r="B3" s="2">
        <v>230</v>
      </c>
      <c r="C3" s="2">
        <v>300</v>
      </c>
      <c r="D3" s="2">
        <v>10</v>
      </c>
      <c r="E3" s="2">
        <v>10</v>
      </c>
      <c r="F3" s="2">
        <f>D3-E3</f>
        <v>0</v>
      </c>
      <c r="G3" s="2" t="str">
        <f>IF(F3&lt;=3,"Reorder","Avialable")</f>
        <v>Reorder</v>
      </c>
    </row>
    <row r="4" spans="1:7" ht="15" customHeight="1" x14ac:dyDescent="0.25">
      <c r="A4" s="2" t="s">
        <v>582</v>
      </c>
      <c r="B4" s="2">
        <v>230</v>
      </c>
      <c r="C4" s="2">
        <v>300</v>
      </c>
      <c r="D4" s="2">
        <v>18</v>
      </c>
      <c r="E4" s="2">
        <v>8</v>
      </c>
      <c r="F4" s="2">
        <f t="shared" ref="F4:F11" si="0">D4-E4</f>
        <v>10</v>
      </c>
      <c r="G4" s="2" t="str">
        <f>IF(F4&lt;=3,"Reorder","Available")</f>
        <v>Available</v>
      </c>
    </row>
    <row r="5" spans="1:7" ht="15" customHeight="1" x14ac:dyDescent="0.25">
      <c r="A5" s="2" t="s">
        <v>412</v>
      </c>
      <c r="B5" s="2">
        <v>230</v>
      </c>
      <c r="C5" s="2">
        <v>300</v>
      </c>
      <c r="D5" s="2">
        <v>10</v>
      </c>
      <c r="E5" s="2">
        <v>3</v>
      </c>
      <c r="F5" s="2">
        <f t="shared" si="0"/>
        <v>7</v>
      </c>
      <c r="G5" s="2" t="str">
        <f t="shared" ref="G5:G12" si="1">IF(F5&lt;=3,"Reorder","Available")</f>
        <v>Available</v>
      </c>
    </row>
    <row r="6" spans="1:7" ht="15" customHeight="1" x14ac:dyDescent="0.25">
      <c r="A6" s="2" t="s">
        <v>413</v>
      </c>
      <c r="B6" s="2">
        <v>230</v>
      </c>
      <c r="C6" s="2">
        <v>300</v>
      </c>
      <c r="D6" s="2">
        <v>13</v>
      </c>
      <c r="E6" s="2">
        <v>6</v>
      </c>
      <c r="F6" s="2">
        <f t="shared" si="0"/>
        <v>7</v>
      </c>
      <c r="G6" s="2" t="str">
        <f t="shared" si="1"/>
        <v>Available</v>
      </c>
    </row>
    <row r="7" spans="1:7" ht="15" customHeight="1" x14ac:dyDescent="0.25">
      <c r="A7" s="2" t="s">
        <v>414</v>
      </c>
      <c r="B7" s="2">
        <v>280</v>
      </c>
      <c r="C7" s="2">
        <v>350</v>
      </c>
      <c r="D7" s="2">
        <v>10</v>
      </c>
      <c r="E7" s="2">
        <v>6</v>
      </c>
      <c r="F7" s="2">
        <f t="shared" si="0"/>
        <v>4</v>
      </c>
      <c r="G7" s="2" t="str">
        <f t="shared" si="1"/>
        <v>Available</v>
      </c>
    </row>
    <row r="8" spans="1:7" ht="15" customHeight="1" x14ac:dyDescent="0.25">
      <c r="A8" s="2" t="s">
        <v>415</v>
      </c>
      <c r="B8" s="2">
        <v>280</v>
      </c>
      <c r="C8" s="2">
        <v>350</v>
      </c>
      <c r="D8" s="2">
        <v>17</v>
      </c>
      <c r="E8" s="2">
        <v>5</v>
      </c>
      <c r="F8" s="2">
        <f t="shared" si="0"/>
        <v>12</v>
      </c>
      <c r="G8" s="2" t="str">
        <f t="shared" si="1"/>
        <v>Available</v>
      </c>
    </row>
    <row r="9" spans="1:7" s="18" customFormat="1" ht="15" customHeight="1" x14ac:dyDescent="0.25">
      <c r="A9" s="2" t="s">
        <v>416</v>
      </c>
      <c r="B9" s="2">
        <v>240</v>
      </c>
      <c r="C9" s="2">
        <v>350</v>
      </c>
      <c r="D9" s="2">
        <v>5</v>
      </c>
      <c r="E9" s="2">
        <v>0</v>
      </c>
      <c r="F9" s="2">
        <f t="shared" si="0"/>
        <v>5</v>
      </c>
      <c r="G9" s="2" t="str">
        <f t="shared" si="1"/>
        <v>Available</v>
      </c>
    </row>
    <row r="10" spans="1:7" ht="15" customHeight="1" x14ac:dyDescent="0.25">
      <c r="A10" s="2" t="s">
        <v>417</v>
      </c>
      <c r="B10" s="2">
        <v>425</v>
      </c>
      <c r="C10" s="2">
        <v>480</v>
      </c>
      <c r="D10" s="2">
        <v>2</v>
      </c>
      <c r="E10" s="2">
        <v>0</v>
      </c>
      <c r="F10" s="2">
        <f t="shared" si="0"/>
        <v>2</v>
      </c>
      <c r="G10" s="2" t="str">
        <f t="shared" si="1"/>
        <v>Reorder</v>
      </c>
    </row>
    <row r="11" spans="1:7" ht="15" customHeight="1" x14ac:dyDescent="0.25">
      <c r="A11" s="26" t="s">
        <v>418</v>
      </c>
      <c r="B11" s="2">
        <v>380</v>
      </c>
      <c r="C11" s="2">
        <v>450</v>
      </c>
      <c r="D11" s="2">
        <v>7</v>
      </c>
      <c r="E11" s="2">
        <v>2</v>
      </c>
      <c r="F11" s="2">
        <f t="shared" si="0"/>
        <v>5</v>
      </c>
      <c r="G11" s="2" t="str">
        <f t="shared" si="1"/>
        <v>Available</v>
      </c>
    </row>
    <row r="12" spans="1:7" x14ac:dyDescent="0.25">
      <c r="A12" s="26" t="s">
        <v>419</v>
      </c>
      <c r="B12" s="2">
        <v>380</v>
      </c>
      <c r="C12" s="2">
        <v>450</v>
      </c>
      <c r="D12" s="2">
        <v>6</v>
      </c>
      <c r="E12" s="2">
        <v>1</v>
      </c>
      <c r="F12" s="2">
        <f t="shared" ref="F12" si="2">D12-E12</f>
        <v>5</v>
      </c>
      <c r="G12" s="2" t="str">
        <f t="shared" si="1"/>
        <v>Available</v>
      </c>
    </row>
    <row r="14" spans="1:7" s="19" customFormat="1" ht="18.75" x14ac:dyDescent="0.25">
      <c r="A14" s="19" t="s">
        <v>420</v>
      </c>
      <c r="B14" s="19">
        <v>350</v>
      </c>
      <c r="D14" s="19">
        <v>0</v>
      </c>
      <c r="E14" s="19">
        <v>0</v>
      </c>
      <c r="F14" s="19">
        <f>D14-E14</f>
        <v>0</v>
      </c>
      <c r="G14" s="19" t="str">
        <f>IF(F14&lt;=1,"Reorder","Available")</f>
        <v>Reorder</v>
      </c>
    </row>
    <row r="15" spans="1:7" s="19" customFormat="1" ht="18.75" x14ac:dyDescent="0.25">
      <c r="A15" s="19" t="s">
        <v>421</v>
      </c>
      <c r="B15" s="19" t="s">
        <v>422</v>
      </c>
      <c r="D15" s="19">
        <v>5</v>
      </c>
      <c r="E15" s="19">
        <v>0</v>
      </c>
      <c r="F15" s="19">
        <f t="shared" ref="F15:F16" si="3">D15-E15</f>
        <v>5</v>
      </c>
    </row>
    <row r="16" spans="1:7" s="19" customFormat="1" ht="18.75" x14ac:dyDescent="0.25">
      <c r="A16" s="19" t="s">
        <v>423</v>
      </c>
      <c r="B16" s="19" t="s">
        <v>891</v>
      </c>
      <c r="C16" s="19" t="s">
        <v>892</v>
      </c>
      <c r="D16" s="19">
        <v>0</v>
      </c>
      <c r="E16" s="19">
        <v>0</v>
      </c>
      <c r="F16" s="19">
        <f t="shared" si="3"/>
        <v>0</v>
      </c>
    </row>
    <row r="17" spans="2:3" s="19" customFormat="1" ht="15" customHeight="1" x14ac:dyDescent="0.25"/>
    <row r="18" spans="2:3" s="29" customFormat="1" ht="40.5" customHeight="1" x14ac:dyDescent="0.25">
      <c r="B18" s="37"/>
      <c r="C18" s="37"/>
    </row>
    <row r="19" spans="2:3" ht="15" customHeight="1" x14ac:dyDescent="0.25"/>
  </sheetData>
  <mergeCells count="1">
    <mergeCell ref="A1:E1"/>
  </mergeCells>
  <conditionalFormatting sqref="A1:E1 D4:D10 A4:A10 B4:C17 A3:E3 A2:C2 E4:E12">
    <cfRule type="expression" dxfId="112" priority="18">
      <formula>ROW()=CELL(ROW)</formula>
    </cfRule>
  </conditionalFormatting>
  <conditionalFormatting sqref="B19:E19">
    <cfRule type="expression" dxfId="111" priority="17">
      <formula>ROW()=CELL(ROW)</formula>
    </cfRule>
  </conditionalFormatting>
  <conditionalFormatting sqref="D2">
    <cfRule type="expression" dxfId="110" priority="16">
      <formula>ROW()=CELL(ROW)</formula>
    </cfRule>
  </conditionalFormatting>
  <conditionalFormatting sqref="G2">
    <cfRule type="containsText" dxfId="109" priority="15" operator="containsText" text="Reorder ">
      <formula>NOT(ISERROR(SEARCH("Reorder ",G2)))</formula>
    </cfRule>
  </conditionalFormatting>
  <conditionalFormatting sqref="G2">
    <cfRule type="containsText" dxfId="108" priority="14" operator="containsText" text="Reorder">
      <formula>NOT(ISERROR(SEARCH("Reorder",G2)))</formula>
    </cfRule>
  </conditionalFormatting>
  <conditionalFormatting sqref="G2">
    <cfRule type="containsText" dxfId="107" priority="13" operator="containsText" text="Reorder">
      <formula>NOT(ISERROR(SEARCH("Reorder",G2)))</formula>
    </cfRule>
  </conditionalFormatting>
  <conditionalFormatting sqref="G2">
    <cfRule type="containsText" dxfId="106" priority="12" operator="containsText" text="Reorder">
      <formula>NOT(ISERROR(SEARCH("Reorder",G2)))</formula>
    </cfRule>
  </conditionalFormatting>
  <conditionalFormatting sqref="G2">
    <cfRule type="containsText" dxfId="105" priority="11" operator="containsText" text="Reorder">
      <formula>NOT(ISERROR(SEARCH("Reorder",G2)))</formula>
    </cfRule>
  </conditionalFormatting>
  <conditionalFormatting sqref="G2">
    <cfRule type="containsText" dxfId="104" priority="10" operator="containsText" text="Reorder">
      <formula>NOT(ISERROR(SEARCH("Reorder",G2)))</formula>
    </cfRule>
  </conditionalFormatting>
  <conditionalFormatting sqref="G2">
    <cfRule type="containsText" dxfId="103" priority="9" operator="containsText" text="Reorder">
      <formula>NOT(ISERROR(SEARCH("Reorder",G2)))</formula>
    </cfRule>
  </conditionalFormatting>
  <conditionalFormatting sqref="G2">
    <cfRule type="containsText" dxfId="102" priority="8" operator="containsText" text="Reorder">
      <formula>NOT(ISERROR(SEARCH("Reorder",G2)))</formula>
    </cfRule>
  </conditionalFormatting>
  <conditionalFormatting sqref="G2">
    <cfRule type="containsText" dxfId="101" priority="7" operator="containsText" text="Reorder">
      <formula>NOT(ISERROR(SEARCH("Reorder",G2)))</formula>
    </cfRule>
  </conditionalFormatting>
  <conditionalFormatting sqref="G2">
    <cfRule type="containsText" dxfId="100" priority="6" operator="containsText" text="Reorder">
      <formula>NOT(ISERROR(SEARCH("Reorder",G2)))</formula>
    </cfRule>
  </conditionalFormatting>
  <conditionalFormatting sqref="G2">
    <cfRule type="containsText" dxfId="99" priority="5" operator="containsText" text="Reorder">
      <formula>NOT(ISERROR(SEARCH("Reorder",G2)))</formula>
    </cfRule>
  </conditionalFormatting>
  <conditionalFormatting sqref="G2">
    <cfRule type="containsText" dxfId="98" priority="4" operator="containsText" text="Reorder">
      <formula>NOT(ISERROR(SEARCH("Reorder",G2)))</formula>
    </cfRule>
  </conditionalFormatting>
  <conditionalFormatting sqref="G2">
    <cfRule type="containsText" dxfId="97" priority="3" operator="containsText" text="Reorder">
      <formula>NOT(ISERROR(SEARCH("Reorder",G2)))</formula>
    </cfRule>
  </conditionalFormatting>
  <conditionalFormatting sqref="G1:G1048576">
    <cfRule type="containsText" dxfId="96" priority="2" operator="containsText" text="Reorder">
      <formula>NOT(ISERROR(SEARCH("Reorder",G1)))</formula>
    </cfRule>
  </conditionalFormatting>
  <conditionalFormatting sqref="D14:D16">
    <cfRule type="expression" dxfId="95" priority="1">
      <formula>ROW()=CELL(ROW)</formula>
    </cfRule>
  </conditionalFormatting>
  <pageMargins left="0.7" right="0.7" top="0.75" bottom="0.75" header="0.3" footer="0.3"/>
  <pageSetup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9"/>
  <sheetViews>
    <sheetView workbookViewId="0">
      <selection activeCell="E8" sqref="E8"/>
    </sheetView>
  </sheetViews>
  <sheetFormatPr defaultRowHeight="15" x14ac:dyDescent="0.25"/>
  <cols>
    <col min="1" max="1" width="9.140625" style="2"/>
    <col min="2" max="2" width="33" style="2" customWidth="1"/>
    <col min="3" max="3" width="18.85546875" style="2" customWidth="1"/>
    <col min="4" max="4" width="18.5703125" style="2" customWidth="1"/>
    <col min="5" max="5" width="17.5703125" style="2" customWidth="1"/>
    <col min="6" max="6" width="16.85546875" style="2" customWidth="1"/>
    <col min="7" max="7" width="18.5703125" style="2" customWidth="1"/>
    <col min="8" max="8" width="12.5703125" style="2" customWidth="1"/>
    <col min="9" max="16384" width="9.140625" style="2"/>
  </cols>
  <sheetData>
    <row r="1" spans="1:8" ht="44.25" customHeight="1" x14ac:dyDescent="0.25">
      <c r="B1" s="71" t="s">
        <v>424</v>
      </c>
      <c r="C1" s="72"/>
      <c r="D1" s="72"/>
      <c r="E1" s="72"/>
      <c r="F1" s="72"/>
    </row>
    <row r="2" spans="1:8" s="7" customFormat="1" ht="61.5" customHeight="1" x14ac:dyDescent="0.25">
      <c r="B2" s="4" t="s">
        <v>65</v>
      </c>
      <c r="C2" s="5" t="s">
        <v>60</v>
      </c>
      <c r="D2" s="5" t="s">
        <v>62</v>
      </c>
      <c r="E2" s="5" t="s">
        <v>680</v>
      </c>
      <c r="F2" s="5" t="s">
        <v>681</v>
      </c>
      <c r="G2" s="5" t="s">
        <v>641</v>
      </c>
      <c r="H2" s="5" t="s">
        <v>638</v>
      </c>
    </row>
    <row r="3" spans="1:8" ht="15" customHeight="1" x14ac:dyDescent="0.25">
      <c r="A3" s="103" t="s">
        <v>282</v>
      </c>
      <c r="B3" s="7" t="s">
        <v>632</v>
      </c>
      <c r="C3" s="2">
        <v>950</v>
      </c>
      <c r="D3" s="2">
        <v>1050</v>
      </c>
      <c r="E3" s="2">
        <v>4</v>
      </c>
      <c r="F3" s="2">
        <v>2</v>
      </c>
      <c r="G3" s="2">
        <f>E3-F3</f>
        <v>2</v>
      </c>
      <c r="H3" s="2" t="str">
        <f>IF(G3&lt;=0,"Reorder","Available")</f>
        <v>Available</v>
      </c>
    </row>
    <row r="4" spans="1:8" ht="15" customHeight="1" x14ac:dyDescent="0.25">
      <c r="A4" s="104"/>
      <c r="B4" s="7" t="s">
        <v>881</v>
      </c>
      <c r="C4" s="2">
        <v>620</v>
      </c>
      <c r="D4" s="2">
        <v>750</v>
      </c>
      <c r="E4" s="2">
        <v>1</v>
      </c>
      <c r="F4" s="2">
        <v>1</v>
      </c>
      <c r="G4" s="2">
        <f t="shared" ref="G4:G18" si="0">E4-F4</f>
        <v>0</v>
      </c>
      <c r="H4" s="2" t="str">
        <f t="shared" ref="H4:H18" si="1">IF(G4&lt;=0,"Reorder","Available")</f>
        <v>Reorder</v>
      </c>
    </row>
    <row r="5" spans="1:8" ht="15" customHeight="1" x14ac:dyDescent="0.25">
      <c r="A5" s="104"/>
      <c r="B5" s="7" t="s">
        <v>425</v>
      </c>
      <c r="C5" s="2">
        <v>615</v>
      </c>
      <c r="D5" s="2">
        <v>755</v>
      </c>
      <c r="E5" s="2">
        <v>1</v>
      </c>
      <c r="F5" s="2">
        <v>0</v>
      </c>
      <c r="G5" s="2">
        <f t="shared" si="0"/>
        <v>1</v>
      </c>
      <c r="H5" s="2" t="str">
        <f t="shared" si="1"/>
        <v>Available</v>
      </c>
    </row>
    <row r="6" spans="1:8" ht="15" customHeight="1" x14ac:dyDescent="0.25">
      <c r="A6" s="104"/>
      <c r="B6" s="7" t="s">
        <v>17</v>
      </c>
      <c r="C6" s="2">
        <v>700</v>
      </c>
      <c r="D6" s="2">
        <v>850</v>
      </c>
      <c r="E6" s="2">
        <v>2</v>
      </c>
      <c r="F6" s="2">
        <v>0</v>
      </c>
      <c r="G6" s="2">
        <f t="shared" si="0"/>
        <v>2</v>
      </c>
      <c r="H6" s="2" t="str">
        <f t="shared" si="1"/>
        <v>Available</v>
      </c>
    </row>
    <row r="7" spans="1:8" ht="15" customHeight="1" x14ac:dyDescent="0.25">
      <c r="A7" s="104"/>
      <c r="B7" s="7" t="s">
        <v>116</v>
      </c>
      <c r="C7" s="2">
        <v>500</v>
      </c>
      <c r="D7" s="2">
        <v>600</v>
      </c>
      <c r="E7" s="2">
        <v>2</v>
      </c>
      <c r="F7" s="2">
        <v>0</v>
      </c>
      <c r="G7" s="2">
        <f t="shared" si="0"/>
        <v>2</v>
      </c>
      <c r="H7" s="2" t="str">
        <f t="shared" si="1"/>
        <v>Available</v>
      </c>
    </row>
    <row r="8" spans="1:8" ht="15" customHeight="1" x14ac:dyDescent="0.25">
      <c r="A8" s="104"/>
      <c r="B8" s="7" t="s">
        <v>194</v>
      </c>
      <c r="C8" s="2">
        <v>620</v>
      </c>
      <c r="D8" s="2">
        <v>720</v>
      </c>
      <c r="E8" s="2">
        <v>0</v>
      </c>
      <c r="F8" s="2">
        <v>0</v>
      </c>
      <c r="G8" s="2">
        <f t="shared" si="0"/>
        <v>0</v>
      </c>
      <c r="H8" s="2" t="str">
        <f t="shared" si="1"/>
        <v>Reorder</v>
      </c>
    </row>
    <row r="9" spans="1:8" ht="15" customHeight="1" x14ac:dyDescent="0.25">
      <c r="A9" s="104"/>
      <c r="B9" s="7" t="s">
        <v>426</v>
      </c>
      <c r="C9" s="2">
        <v>330</v>
      </c>
      <c r="D9" s="2">
        <v>450</v>
      </c>
      <c r="E9" s="2">
        <v>0</v>
      </c>
      <c r="F9" s="2">
        <v>0</v>
      </c>
      <c r="G9" s="2">
        <f t="shared" si="0"/>
        <v>0</v>
      </c>
      <c r="H9" s="2" t="str">
        <f t="shared" si="1"/>
        <v>Reorder</v>
      </c>
    </row>
    <row r="10" spans="1:8" ht="15" customHeight="1" x14ac:dyDescent="0.25">
      <c r="A10" s="104"/>
      <c r="B10" s="7" t="s">
        <v>427</v>
      </c>
      <c r="C10" s="2">
        <v>450</v>
      </c>
      <c r="D10" s="2">
        <v>550</v>
      </c>
      <c r="E10" s="2">
        <v>0</v>
      </c>
      <c r="F10" s="2">
        <v>0</v>
      </c>
      <c r="G10" s="2">
        <f t="shared" si="0"/>
        <v>0</v>
      </c>
      <c r="H10" s="2" t="str">
        <f t="shared" si="1"/>
        <v>Reorder</v>
      </c>
    </row>
    <row r="11" spans="1:8" ht="15" customHeight="1" x14ac:dyDescent="0.25">
      <c r="A11" s="104"/>
      <c r="B11" s="7" t="s">
        <v>156</v>
      </c>
      <c r="C11" s="2">
        <v>405</v>
      </c>
      <c r="D11" s="2">
        <v>550</v>
      </c>
      <c r="E11" s="2">
        <v>0</v>
      </c>
      <c r="F11" s="2">
        <v>0</v>
      </c>
      <c r="G11" s="2">
        <f t="shared" si="0"/>
        <v>0</v>
      </c>
      <c r="H11" s="2" t="str">
        <f t="shared" si="1"/>
        <v>Reorder</v>
      </c>
    </row>
    <row r="12" spans="1:8" ht="15" customHeight="1" x14ac:dyDescent="0.25">
      <c r="A12" s="39"/>
      <c r="B12" s="7"/>
    </row>
    <row r="13" spans="1:8" ht="15" customHeight="1" x14ac:dyDescent="0.25">
      <c r="A13" s="92" t="s">
        <v>281</v>
      </c>
      <c r="B13" s="7" t="s">
        <v>151</v>
      </c>
      <c r="C13" s="2">
        <v>935</v>
      </c>
      <c r="D13" s="2">
        <v>1035</v>
      </c>
      <c r="E13" s="2">
        <v>0</v>
      </c>
      <c r="F13" s="2">
        <v>0</v>
      </c>
      <c r="G13" s="2">
        <f t="shared" si="0"/>
        <v>0</v>
      </c>
      <c r="H13" s="2" t="str">
        <f t="shared" si="1"/>
        <v>Reorder</v>
      </c>
    </row>
    <row r="14" spans="1:8" ht="15" customHeight="1" x14ac:dyDescent="0.25">
      <c r="A14" s="92"/>
      <c r="B14" s="7" t="s">
        <v>954</v>
      </c>
      <c r="C14" s="2">
        <v>1150</v>
      </c>
      <c r="D14" s="2">
        <v>1450</v>
      </c>
      <c r="E14" s="2">
        <v>2</v>
      </c>
      <c r="F14" s="2">
        <v>1</v>
      </c>
      <c r="G14" s="2">
        <f t="shared" si="0"/>
        <v>1</v>
      </c>
      <c r="H14" s="2" t="str">
        <f t="shared" si="1"/>
        <v>Available</v>
      </c>
    </row>
    <row r="15" spans="1:8" ht="15" customHeight="1" x14ac:dyDescent="0.25">
      <c r="A15" s="105"/>
      <c r="B15" s="7" t="s">
        <v>428</v>
      </c>
      <c r="C15" s="2">
        <v>490</v>
      </c>
      <c r="D15" s="2">
        <v>590</v>
      </c>
      <c r="E15" s="2">
        <v>2</v>
      </c>
      <c r="F15" s="2">
        <v>2</v>
      </c>
      <c r="G15" s="2">
        <f t="shared" si="0"/>
        <v>0</v>
      </c>
      <c r="H15" s="2" t="str">
        <f t="shared" si="1"/>
        <v>Reorder</v>
      </c>
    </row>
    <row r="16" spans="1:8" ht="15" customHeight="1" x14ac:dyDescent="0.25">
      <c r="A16" s="39"/>
      <c r="B16" s="7" t="s">
        <v>579</v>
      </c>
      <c r="C16" s="2">
        <v>1410</v>
      </c>
      <c r="D16" s="2">
        <v>1510</v>
      </c>
      <c r="E16" s="2">
        <v>1</v>
      </c>
      <c r="F16" s="2">
        <v>0</v>
      </c>
      <c r="G16" s="2">
        <f t="shared" si="0"/>
        <v>1</v>
      </c>
      <c r="H16" s="2" t="str">
        <f t="shared" si="1"/>
        <v>Available</v>
      </c>
    </row>
    <row r="17" spans="1:8" ht="15" customHeight="1" x14ac:dyDescent="0.25">
      <c r="A17" s="92" t="s">
        <v>160</v>
      </c>
      <c r="B17" s="7" t="s">
        <v>429</v>
      </c>
      <c r="C17" s="2">
        <v>580</v>
      </c>
      <c r="D17" s="2">
        <v>650</v>
      </c>
      <c r="E17" s="2">
        <v>0</v>
      </c>
      <c r="F17" s="2">
        <v>0</v>
      </c>
      <c r="G17" s="2">
        <f t="shared" si="0"/>
        <v>0</v>
      </c>
      <c r="H17" s="2" t="str">
        <f t="shared" si="1"/>
        <v>Reorder</v>
      </c>
    </row>
    <row r="18" spans="1:8" ht="15.75" customHeight="1" x14ac:dyDescent="0.25">
      <c r="A18" s="85"/>
      <c r="B18" s="2" t="s">
        <v>430</v>
      </c>
      <c r="C18" s="2">
        <v>600</v>
      </c>
      <c r="D18" s="2">
        <v>705</v>
      </c>
      <c r="E18" s="2">
        <v>0</v>
      </c>
      <c r="F18" s="2">
        <v>0</v>
      </c>
      <c r="G18" s="2">
        <f t="shared" si="0"/>
        <v>0</v>
      </c>
      <c r="H18" s="2" t="str">
        <f t="shared" si="1"/>
        <v>Reorder</v>
      </c>
    </row>
    <row r="19" spans="1:8" ht="15" customHeight="1" x14ac:dyDescent="0.25">
      <c r="A19" s="39"/>
      <c r="B19" s="7"/>
      <c r="C19" s="7"/>
      <c r="D19" s="7"/>
      <c r="E19" s="7"/>
      <c r="F19" s="7"/>
    </row>
    <row r="20" spans="1:8" s="7" customFormat="1" ht="15" customHeight="1" x14ac:dyDescent="0.25">
      <c r="A20" s="39"/>
      <c r="B20" s="2"/>
      <c r="C20" s="2"/>
      <c r="D20" s="2"/>
      <c r="E20" s="2"/>
    </row>
    <row r="21" spans="1:8" x14ac:dyDescent="0.25">
      <c r="A21" s="40"/>
    </row>
    <row r="24" spans="1:8" x14ac:dyDescent="0.25">
      <c r="A24" s="91"/>
    </row>
    <row r="25" spans="1:8" x14ac:dyDescent="0.25">
      <c r="A25" s="92"/>
    </row>
    <row r="26" spans="1:8" x14ac:dyDescent="0.25">
      <c r="A26" s="93"/>
    </row>
    <row r="27" spans="1:8" ht="44.25" customHeight="1" x14ac:dyDescent="0.25">
      <c r="B27" s="71" t="s">
        <v>763</v>
      </c>
      <c r="C27" s="72"/>
      <c r="D27" s="72"/>
      <c r="E27" s="72"/>
      <c r="F27" s="72"/>
    </row>
    <row r="28" spans="1:8" s="7" customFormat="1" ht="61.5" customHeight="1" x14ac:dyDescent="0.25">
      <c r="B28" s="4" t="s">
        <v>88</v>
      </c>
      <c r="C28" s="5" t="s">
        <v>60</v>
      </c>
      <c r="D28" s="5" t="s">
        <v>62</v>
      </c>
      <c r="E28" s="5" t="s">
        <v>680</v>
      </c>
      <c r="F28" s="5" t="s">
        <v>681</v>
      </c>
      <c r="G28" s="5" t="s">
        <v>641</v>
      </c>
      <c r="H28" s="5" t="s">
        <v>638</v>
      </c>
    </row>
    <row r="29" spans="1:8" x14ac:dyDescent="0.25">
      <c r="B29" s="2" t="s">
        <v>764</v>
      </c>
      <c r="C29" s="2">
        <v>1880</v>
      </c>
      <c r="D29" s="2">
        <v>2200</v>
      </c>
      <c r="E29" s="2">
        <v>1</v>
      </c>
      <c r="F29" s="2">
        <v>1</v>
      </c>
      <c r="G29" s="2">
        <f>E29-F29</f>
        <v>0</v>
      </c>
      <c r="H29" s="2" t="str">
        <f>IF(E29&lt;=0,"Reorder","Available")</f>
        <v>Available</v>
      </c>
    </row>
  </sheetData>
  <mergeCells count="6">
    <mergeCell ref="B1:F1"/>
    <mergeCell ref="A24:A26"/>
    <mergeCell ref="B27:F27"/>
    <mergeCell ref="A3:A11"/>
    <mergeCell ref="A13:A15"/>
    <mergeCell ref="A17:A18"/>
  </mergeCells>
  <conditionalFormatting sqref="B19:F19 B20:E20">
    <cfRule type="expression" dxfId="94" priority="34">
      <formula>ROW()=CELL(ROW)</formula>
    </cfRule>
  </conditionalFormatting>
  <conditionalFormatting sqref="B28 B27:F27">
    <cfRule type="expression" dxfId="93" priority="33">
      <formula>ROW()=CELL(ROW)</formula>
    </cfRule>
  </conditionalFormatting>
  <conditionalFormatting sqref="C21:D26 B2:D17 B18:C18 B1:F1 D29">
    <cfRule type="expression" dxfId="92" priority="35">
      <formula>ROW()=CELL(ROW)</formula>
    </cfRule>
  </conditionalFormatting>
  <conditionalFormatting sqref="E2">
    <cfRule type="expression" dxfId="91" priority="32">
      <formula>ROW()=CELL(ROW)</formula>
    </cfRule>
  </conditionalFormatting>
  <conditionalFormatting sqref="H2">
    <cfRule type="containsText" dxfId="90" priority="31" operator="containsText" text="Reorder ">
      <formula>NOT(ISERROR(SEARCH("Reorder ",H2)))</formula>
    </cfRule>
  </conditionalFormatting>
  <conditionalFormatting sqref="H2">
    <cfRule type="containsText" dxfId="89" priority="30" operator="containsText" text="Reorder">
      <formula>NOT(ISERROR(SEARCH("Reorder",H2)))</formula>
    </cfRule>
  </conditionalFormatting>
  <conditionalFormatting sqref="H2">
    <cfRule type="containsText" dxfId="88" priority="29" operator="containsText" text="Reorder">
      <formula>NOT(ISERROR(SEARCH("Reorder",H2)))</formula>
    </cfRule>
  </conditionalFormatting>
  <conditionalFormatting sqref="H2">
    <cfRule type="containsText" dxfId="87" priority="28" operator="containsText" text="Reorder">
      <formula>NOT(ISERROR(SEARCH("Reorder",H2)))</formula>
    </cfRule>
  </conditionalFormatting>
  <conditionalFormatting sqref="H2">
    <cfRule type="containsText" dxfId="86" priority="27" operator="containsText" text="Reorder">
      <formula>NOT(ISERROR(SEARCH("Reorder",H2)))</formula>
    </cfRule>
  </conditionalFormatting>
  <conditionalFormatting sqref="H2">
    <cfRule type="containsText" dxfId="85" priority="26" operator="containsText" text="Reorder">
      <formula>NOT(ISERROR(SEARCH("Reorder",H2)))</formula>
    </cfRule>
  </conditionalFormatting>
  <conditionalFormatting sqref="H2">
    <cfRule type="containsText" dxfId="84" priority="25" operator="containsText" text="Reorder">
      <formula>NOT(ISERROR(SEARCH("Reorder",H2)))</formula>
    </cfRule>
  </conditionalFormatting>
  <conditionalFormatting sqref="H2">
    <cfRule type="containsText" dxfId="83" priority="24" operator="containsText" text="Reorder">
      <formula>NOT(ISERROR(SEARCH("Reorder",H2)))</formula>
    </cfRule>
  </conditionalFormatting>
  <conditionalFormatting sqref="H2">
    <cfRule type="containsText" dxfId="82" priority="23" operator="containsText" text="Reorder">
      <formula>NOT(ISERROR(SEARCH("Reorder",H2)))</formula>
    </cfRule>
  </conditionalFormatting>
  <conditionalFormatting sqref="H2">
    <cfRule type="containsText" dxfId="81" priority="22" operator="containsText" text="Reorder">
      <formula>NOT(ISERROR(SEARCH("Reorder",H2)))</formula>
    </cfRule>
  </conditionalFormatting>
  <conditionalFormatting sqref="H2">
    <cfRule type="containsText" dxfId="80" priority="21" operator="containsText" text="Reorder">
      <formula>NOT(ISERROR(SEARCH("Reorder",H2)))</formula>
    </cfRule>
  </conditionalFormatting>
  <conditionalFormatting sqref="H2">
    <cfRule type="containsText" dxfId="79" priority="20" operator="containsText" text="Reorder">
      <formula>NOT(ISERROR(SEARCH("Reorder",H2)))</formula>
    </cfRule>
  </conditionalFormatting>
  <conditionalFormatting sqref="H2">
    <cfRule type="containsText" dxfId="78" priority="19" operator="containsText" text="Reorder">
      <formula>NOT(ISERROR(SEARCH("Reorder",H2)))</formula>
    </cfRule>
  </conditionalFormatting>
  <conditionalFormatting sqref="H2">
    <cfRule type="containsText" dxfId="77" priority="18" operator="containsText" text="Reorder">
      <formula>NOT(ISERROR(SEARCH("Reorder",H2)))</formula>
    </cfRule>
  </conditionalFormatting>
  <conditionalFormatting sqref="C28:D28">
    <cfRule type="expression" dxfId="76" priority="17">
      <formula>ROW()=CELL(ROW)</formula>
    </cfRule>
  </conditionalFormatting>
  <conditionalFormatting sqref="E28">
    <cfRule type="expression" dxfId="75" priority="16">
      <formula>ROW()=CELL(ROW)</formula>
    </cfRule>
  </conditionalFormatting>
  <conditionalFormatting sqref="H28">
    <cfRule type="containsText" dxfId="74" priority="15" operator="containsText" text="Reorder ">
      <formula>NOT(ISERROR(SEARCH("Reorder ",H28)))</formula>
    </cfRule>
  </conditionalFormatting>
  <conditionalFormatting sqref="H28">
    <cfRule type="containsText" dxfId="73" priority="14" operator="containsText" text="Reorder">
      <formula>NOT(ISERROR(SEARCH("Reorder",H28)))</formula>
    </cfRule>
  </conditionalFormatting>
  <conditionalFormatting sqref="H28">
    <cfRule type="containsText" dxfId="72" priority="13" operator="containsText" text="Reorder">
      <formula>NOT(ISERROR(SEARCH("Reorder",H28)))</formula>
    </cfRule>
  </conditionalFormatting>
  <conditionalFormatting sqref="H28">
    <cfRule type="containsText" dxfId="71" priority="12" operator="containsText" text="Reorder">
      <formula>NOT(ISERROR(SEARCH("Reorder",H28)))</formula>
    </cfRule>
  </conditionalFormatting>
  <conditionalFormatting sqref="H28">
    <cfRule type="containsText" dxfId="70" priority="11" operator="containsText" text="Reorder">
      <formula>NOT(ISERROR(SEARCH("Reorder",H28)))</formula>
    </cfRule>
  </conditionalFormatting>
  <conditionalFormatting sqref="H28">
    <cfRule type="containsText" dxfId="69" priority="10" operator="containsText" text="Reorder">
      <formula>NOT(ISERROR(SEARCH("Reorder",H28)))</formula>
    </cfRule>
  </conditionalFormatting>
  <conditionalFormatting sqref="H28">
    <cfRule type="containsText" dxfId="68" priority="9" operator="containsText" text="Reorder">
      <formula>NOT(ISERROR(SEARCH("Reorder",H28)))</formula>
    </cfRule>
  </conditionalFormatting>
  <conditionalFormatting sqref="H28">
    <cfRule type="containsText" dxfId="67" priority="8" operator="containsText" text="Reorder">
      <formula>NOT(ISERROR(SEARCH("Reorder",H28)))</formula>
    </cfRule>
  </conditionalFormatting>
  <conditionalFormatting sqref="H28">
    <cfRule type="containsText" dxfId="66" priority="7" operator="containsText" text="Reorder">
      <formula>NOT(ISERROR(SEARCH("Reorder",H28)))</formula>
    </cfRule>
  </conditionalFormatting>
  <conditionalFormatting sqref="H28">
    <cfRule type="containsText" dxfId="65" priority="6" operator="containsText" text="Reorder">
      <formula>NOT(ISERROR(SEARCH("Reorder",H28)))</formula>
    </cfRule>
  </conditionalFormatting>
  <conditionalFormatting sqref="H28">
    <cfRule type="containsText" dxfId="64" priority="5" operator="containsText" text="Reorder">
      <formula>NOT(ISERROR(SEARCH("Reorder",H28)))</formula>
    </cfRule>
  </conditionalFormatting>
  <conditionalFormatting sqref="H28">
    <cfRule type="containsText" dxfId="63" priority="4" operator="containsText" text="Reorder">
      <formula>NOT(ISERROR(SEARCH("Reorder",H28)))</formula>
    </cfRule>
  </conditionalFormatting>
  <conditionalFormatting sqref="H28">
    <cfRule type="containsText" dxfId="62" priority="3" operator="containsText" text="Reorder">
      <formula>NOT(ISERROR(SEARCH("Reorder",H28)))</formula>
    </cfRule>
  </conditionalFormatting>
  <conditionalFormatting sqref="H28">
    <cfRule type="containsText" dxfId="61" priority="2" operator="containsText" text="Reorder">
      <formula>NOT(ISERROR(SEARCH("Reorder",H28)))</formula>
    </cfRule>
  </conditionalFormatting>
  <conditionalFormatting sqref="H1:H1048576">
    <cfRule type="containsText" dxfId="60" priority="1" operator="containsText" text="Reorder">
      <formula>NOT(ISERROR(SEARCH("Reorder",H1)))</formula>
    </cfRule>
  </conditionalFormatting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20"/>
  <sheetViews>
    <sheetView workbookViewId="0">
      <selection activeCell="J2" sqref="J2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7.5703125" style="2" customWidth="1"/>
    <col min="7" max="7" width="11.42578125" style="2" customWidth="1"/>
    <col min="8" max="16384" width="9.140625" style="2"/>
  </cols>
  <sheetData>
    <row r="1" spans="1:7" ht="44.25" customHeight="1" x14ac:dyDescent="0.25">
      <c r="A1" s="102" t="s">
        <v>431</v>
      </c>
      <c r="B1" s="72"/>
      <c r="C1" s="72"/>
      <c r="D1" s="72"/>
      <c r="E1" s="72"/>
    </row>
    <row r="2" spans="1:7" s="7" customFormat="1" ht="61.5" customHeight="1" x14ac:dyDescent="0.25">
      <c r="A2" s="4" t="s">
        <v>3</v>
      </c>
      <c r="B2" s="5" t="s">
        <v>60</v>
      </c>
      <c r="C2" s="5" t="s">
        <v>363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151</v>
      </c>
      <c r="B3" s="2">
        <v>160</v>
      </c>
      <c r="C3" s="2">
        <v>220</v>
      </c>
      <c r="D3" s="2">
        <v>2</v>
      </c>
      <c r="E3" s="2">
        <v>0</v>
      </c>
      <c r="F3" s="2">
        <f>D3-E3</f>
        <v>2</v>
      </c>
      <c r="G3" s="2" t="str">
        <f>IF(F3&lt;=1,"Reorder","Available")</f>
        <v>Available</v>
      </c>
    </row>
    <row r="4" spans="1:7" ht="15" customHeight="1" x14ac:dyDescent="0.25">
      <c r="A4" s="2" t="s">
        <v>5</v>
      </c>
      <c r="B4" s="2">
        <v>190</v>
      </c>
      <c r="C4" s="2">
        <v>250</v>
      </c>
      <c r="D4" s="2">
        <v>0</v>
      </c>
      <c r="E4" s="2">
        <v>0</v>
      </c>
      <c r="F4" s="2">
        <f t="shared" ref="F4:F8" si="0">D4-E4</f>
        <v>0</v>
      </c>
      <c r="G4" s="2" t="str">
        <f t="shared" ref="G4:G8" si="1">IF(F4&lt;=1,"Reorder","Available")</f>
        <v>Reorder</v>
      </c>
    </row>
    <row r="5" spans="1:7" ht="15" customHeight="1" x14ac:dyDescent="0.25">
      <c r="A5" s="2" t="s">
        <v>432</v>
      </c>
      <c r="B5" s="2">
        <v>290</v>
      </c>
      <c r="C5" s="2">
        <v>380</v>
      </c>
      <c r="D5" s="2">
        <v>9</v>
      </c>
      <c r="E5" s="2">
        <v>7</v>
      </c>
      <c r="F5" s="2">
        <f t="shared" si="0"/>
        <v>2</v>
      </c>
      <c r="G5" s="2" t="str">
        <f t="shared" si="1"/>
        <v>Available</v>
      </c>
    </row>
    <row r="6" spans="1:7" ht="15" customHeight="1" x14ac:dyDescent="0.25">
      <c r="A6" s="2" t="s">
        <v>433</v>
      </c>
      <c r="B6" s="2">
        <v>170</v>
      </c>
      <c r="C6" s="2">
        <v>220</v>
      </c>
      <c r="D6" s="2">
        <v>0</v>
      </c>
      <c r="E6" s="2">
        <v>0</v>
      </c>
      <c r="F6" s="2">
        <f t="shared" si="0"/>
        <v>0</v>
      </c>
      <c r="G6" s="2" t="str">
        <f t="shared" si="1"/>
        <v>Reorder</v>
      </c>
    </row>
    <row r="7" spans="1:7" ht="15" customHeight="1" x14ac:dyDescent="0.25">
      <c r="A7" s="2" t="s">
        <v>48</v>
      </c>
      <c r="B7" s="2">
        <v>170</v>
      </c>
      <c r="C7" s="2">
        <v>220</v>
      </c>
      <c r="D7" s="2">
        <v>1</v>
      </c>
      <c r="E7" s="2">
        <v>0</v>
      </c>
      <c r="F7" s="2">
        <f t="shared" si="0"/>
        <v>1</v>
      </c>
      <c r="G7" s="2" t="str">
        <f t="shared" si="1"/>
        <v>Reorder</v>
      </c>
    </row>
    <row r="8" spans="1:7" ht="15" customHeight="1" x14ac:dyDescent="0.25">
      <c r="A8" s="2" t="s">
        <v>156</v>
      </c>
      <c r="B8" s="2">
        <v>170</v>
      </c>
      <c r="C8" s="2">
        <v>220</v>
      </c>
      <c r="D8" s="2">
        <v>1</v>
      </c>
      <c r="E8" s="2">
        <v>0</v>
      </c>
      <c r="F8" s="2">
        <f t="shared" si="0"/>
        <v>1</v>
      </c>
      <c r="G8" s="2" t="str">
        <f t="shared" si="1"/>
        <v>Reorder</v>
      </c>
    </row>
    <row r="9" spans="1:7" s="18" customFormat="1" ht="15" customHeight="1" x14ac:dyDescent="0.25">
      <c r="A9" s="2"/>
      <c r="B9" s="2"/>
      <c r="C9" s="2"/>
      <c r="D9" s="2"/>
    </row>
    <row r="10" spans="1:7" ht="15" customHeight="1" x14ac:dyDescent="0.25"/>
    <row r="11" spans="1:7" ht="15" customHeight="1" x14ac:dyDescent="0.25"/>
    <row r="19" spans="1:5" ht="15" customHeight="1" x14ac:dyDescent="0.25">
      <c r="A19" s="102"/>
      <c r="B19" s="72"/>
      <c r="C19" s="72"/>
      <c r="D19" s="72"/>
      <c r="E19" s="72"/>
    </row>
    <row r="20" spans="1:5" s="7" customFormat="1" ht="15" customHeight="1" x14ac:dyDescent="0.25">
      <c r="A20" s="4"/>
      <c r="B20" s="5"/>
      <c r="C20" s="5"/>
      <c r="D20" s="2"/>
      <c r="E20" s="2"/>
    </row>
  </sheetData>
  <mergeCells count="2">
    <mergeCell ref="A1:E1"/>
    <mergeCell ref="A19:E19"/>
  </mergeCells>
  <conditionalFormatting sqref="A1:E1 A4:A10 B4:C17 A3:E3 A2:C2 D4:E10">
    <cfRule type="expression" dxfId="59" priority="19">
      <formula>ROW()=CELL(ROW)</formula>
    </cfRule>
  </conditionalFormatting>
  <conditionalFormatting sqref="A19:E20">
    <cfRule type="expression" dxfId="58" priority="18">
      <formula>ROW()=CELL(ROW)</formula>
    </cfRule>
  </conditionalFormatting>
  <conditionalFormatting sqref="D2">
    <cfRule type="expression" dxfId="57" priority="17">
      <formula>ROW()=CELL(ROW)</formula>
    </cfRule>
  </conditionalFormatting>
  <conditionalFormatting sqref="G2">
    <cfRule type="containsText" dxfId="56" priority="16" operator="containsText" text="Reorder ">
      <formula>NOT(ISERROR(SEARCH("Reorder ",G2)))</formula>
    </cfRule>
  </conditionalFormatting>
  <conditionalFormatting sqref="G2">
    <cfRule type="containsText" dxfId="55" priority="15" operator="containsText" text="Reorder">
      <formula>NOT(ISERROR(SEARCH("Reorder",G2)))</formula>
    </cfRule>
  </conditionalFormatting>
  <conditionalFormatting sqref="G2">
    <cfRule type="containsText" dxfId="54" priority="14" operator="containsText" text="Reorder">
      <formula>NOT(ISERROR(SEARCH("Reorder",G2)))</formula>
    </cfRule>
  </conditionalFormatting>
  <conditionalFormatting sqref="G2">
    <cfRule type="containsText" dxfId="53" priority="13" operator="containsText" text="Reorder">
      <formula>NOT(ISERROR(SEARCH("Reorder",G2)))</formula>
    </cfRule>
  </conditionalFormatting>
  <conditionalFormatting sqref="G2">
    <cfRule type="containsText" dxfId="52" priority="12" operator="containsText" text="Reorder">
      <formula>NOT(ISERROR(SEARCH("Reorder",G2)))</formula>
    </cfRule>
  </conditionalFormatting>
  <conditionalFormatting sqref="G2">
    <cfRule type="containsText" dxfId="51" priority="11" operator="containsText" text="Reorder">
      <formula>NOT(ISERROR(SEARCH("Reorder",G2)))</formula>
    </cfRule>
  </conditionalFormatting>
  <conditionalFormatting sqref="G2">
    <cfRule type="containsText" dxfId="50" priority="10" operator="containsText" text="Reorder">
      <formula>NOT(ISERROR(SEARCH("Reorder",G2)))</formula>
    </cfRule>
  </conditionalFormatting>
  <conditionalFormatting sqref="G2">
    <cfRule type="containsText" dxfId="49" priority="9" operator="containsText" text="Reorder">
      <formula>NOT(ISERROR(SEARCH("Reorder",G2)))</formula>
    </cfRule>
  </conditionalFormatting>
  <conditionalFormatting sqref="G2">
    <cfRule type="containsText" dxfId="48" priority="8" operator="containsText" text="Reorder">
      <formula>NOT(ISERROR(SEARCH("Reorder",G2)))</formula>
    </cfRule>
  </conditionalFormatting>
  <conditionalFormatting sqref="G2">
    <cfRule type="containsText" dxfId="47" priority="7" operator="containsText" text="Reorder">
      <formula>NOT(ISERROR(SEARCH("Reorder",G2)))</formula>
    </cfRule>
  </conditionalFormatting>
  <conditionalFormatting sqref="G2">
    <cfRule type="containsText" dxfId="46" priority="6" operator="containsText" text="Reorder">
      <formula>NOT(ISERROR(SEARCH("Reorder",G2)))</formula>
    </cfRule>
  </conditionalFormatting>
  <conditionalFormatting sqref="G2">
    <cfRule type="containsText" dxfId="45" priority="5" operator="containsText" text="Reorder">
      <formula>NOT(ISERROR(SEARCH("Reorder",G2)))</formula>
    </cfRule>
  </conditionalFormatting>
  <conditionalFormatting sqref="G2">
    <cfRule type="containsText" dxfId="44" priority="4" operator="containsText" text="Reorder">
      <formula>NOT(ISERROR(SEARCH("Reorder",G2)))</formula>
    </cfRule>
  </conditionalFormatting>
  <conditionalFormatting sqref="G2">
    <cfRule type="containsText" dxfId="43" priority="3" operator="containsText" text="Reorder">
      <formula>NOT(ISERROR(SEARCH("Reorder",G2)))</formula>
    </cfRule>
  </conditionalFormatting>
  <conditionalFormatting sqref="G2">
    <cfRule type="containsText" dxfId="42" priority="2" operator="containsText" text="Reorder">
      <formula>NOT(ISERROR(SEARCH("Reorder",G2)))</formula>
    </cfRule>
  </conditionalFormatting>
  <conditionalFormatting sqref="G1:G1048576">
    <cfRule type="containsText" dxfId="41" priority="1" operator="containsText" text="Reorder">
      <formula>NOT(ISERROR(SEARCH("Reorder",G1)))</formula>
    </cfRule>
  </conditionalFormatting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50"/>
  <sheetViews>
    <sheetView workbookViewId="0">
      <selection sqref="A1:E1"/>
    </sheetView>
  </sheetViews>
  <sheetFormatPr defaultRowHeight="15" x14ac:dyDescent="0.25"/>
  <cols>
    <col min="1" max="1" width="36" style="2" customWidth="1"/>
    <col min="2" max="2" width="18.85546875" style="2" customWidth="1"/>
    <col min="3" max="3" width="18.5703125" style="2" customWidth="1"/>
    <col min="4" max="4" width="17.5703125" style="2" bestFit="1" customWidth="1"/>
    <col min="5" max="5" width="16.28515625" style="2" bestFit="1" customWidth="1"/>
    <col min="6" max="6" width="16.28515625" style="2" customWidth="1"/>
    <col min="7" max="7" width="11.140625" style="2" customWidth="1"/>
    <col min="8" max="16384" width="9.140625" style="2"/>
  </cols>
  <sheetData>
    <row r="1" spans="1:7" ht="44.25" customHeight="1" x14ac:dyDescent="0.25">
      <c r="A1" s="102" t="s">
        <v>461</v>
      </c>
      <c r="B1" s="72"/>
      <c r="C1" s="72"/>
      <c r="D1" s="72"/>
      <c r="E1" s="72"/>
    </row>
    <row r="2" spans="1:7" s="7" customFormat="1" ht="61.5" customHeight="1" x14ac:dyDescent="0.25">
      <c r="A2" s="4" t="s">
        <v>434</v>
      </c>
      <c r="B2" s="5" t="s">
        <v>60</v>
      </c>
      <c r="C2" s="5" t="s">
        <v>363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7" ht="15" customHeight="1" x14ac:dyDescent="0.25">
      <c r="A3" s="2" t="s">
        <v>435</v>
      </c>
      <c r="B3" s="2">
        <v>5985</v>
      </c>
      <c r="C3" s="2">
        <v>6275</v>
      </c>
      <c r="D3" s="2">
        <v>0</v>
      </c>
      <c r="E3" s="2">
        <v>0</v>
      </c>
      <c r="F3" s="2">
        <f>D3-E3</f>
        <v>0</v>
      </c>
      <c r="G3" s="2" t="str">
        <f>IF(F3&lt;=0,"Reorder","Available")</f>
        <v>Reorder</v>
      </c>
    </row>
    <row r="4" spans="1:7" ht="15" customHeight="1" x14ac:dyDescent="0.25">
      <c r="A4" s="2" t="s">
        <v>436</v>
      </c>
      <c r="B4" s="2">
        <v>5690</v>
      </c>
      <c r="C4" s="2">
        <v>5900</v>
      </c>
      <c r="D4" s="2">
        <v>0</v>
      </c>
      <c r="E4" s="2">
        <v>0</v>
      </c>
      <c r="F4" s="2">
        <f t="shared" ref="F4:F28" si="0">D4-E4</f>
        <v>0</v>
      </c>
      <c r="G4" s="2" t="str">
        <f t="shared" ref="G4:G28" si="1">IF(F4&lt;=0,"Reorder","Available")</f>
        <v>Reorder</v>
      </c>
    </row>
    <row r="5" spans="1:7" ht="15" customHeight="1" x14ac:dyDescent="0.25">
      <c r="A5" s="2" t="s">
        <v>437</v>
      </c>
      <c r="B5" s="2">
        <v>4725</v>
      </c>
      <c r="C5" s="2">
        <v>5100</v>
      </c>
      <c r="D5" s="2">
        <v>0</v>
      </c>
      <c r="E5" s="2">
        <v>0</v>
      </c>
      <c r="F5" s="2">
        <f t="shared" si="0"/>
        <v>0</v>
      </c>
      <c r="G5" s="2" t="str">
        <f t="shared" si="1"/>
        <v>Reorder</v>
      </c>
    </row>
    <row r="6" spans="1:7" ht="15" customHeight="1" x14ac:dyDescent="0.25">
      <c r="A6" s="2" t="s">
        <v>438</v>
      </c>
      <c r="B6" s="2">
        <v>4255</v>
      </c>
      <c r="C6" s="2">
        <v>4550</v>
      </c>
      <c r="D6" s="2">
        <v>0</v>
      </c>
      <c r="E6" s="2">
        <v>0</v>
      </c>
      <c r="F6" s="2">
        <f t="shared" si="0"/>
        <v>0</v>
      </c>
      <c r="G6" s="2" t="str">
        <f t="shared" si="1"/>
        <v>Reorder</v>
      </c>
    </row>
    <row r="7" spans="1:7" ht="15" customHeight="1" x14ac:dyDescent="0.25">
      <c r="A7" s="2" t="s">
        <v>439</v>
      </c>
      <c r="B7" s="2">
        <v>4500</v>
      </c>
      <c r="C7" s="2">
        <v>4850</v>
      </c>
      <c r="D7" s="2">
        <v>0</v>
      </c>
      <c r="E7" s="2">
        <v>0</v>
      </c>
      <c r="F7" s="2">
        <f t="shared" si="0"/>
        <v>0</v>
      </c>
      <c r="G7" s="2" t="str">
        <f t="shared" si="1"/>
        <v>Reorder</v>
      </c>
    </row>
    <row r="8" spans="1:7" ht="15" customHeight="1" x14ac:dyDescent="0.25">
      <c r="A8" s="2" t="s">
        <v>440</v>
      </c>
      <c r="B8" s="2">
        <v>3990</v>
      </c>
      <c r="C8" s="2">
        <v>4360</v>
      </c>
      <c r="D8" s="2">
        <v>0</v>
      </c>
      <c r="E8" s="2">
        <v>0</v>
      </c>
      <c r="F8" s="2">
        <f t="shared" si="0"/>
        <v>0</v>
      </c>
      <c r="G8" s="2" t="str">
        <f t="shared" si="1"/>
        <v>Reorder</v>
      </c>
    </row>
    <row r="9" spans="1:7" ht="15" customHeight="1" x14ac:dyDescent="0.25">
      <c r="A9" s="2" t="s">
        <v>443</v>
      </c>
      <c r="B9" s="2">
        <v>3730</v>
      </c>
      <c r="C9" s="2">
        <v>3950</v>
      </c>
      <c r="D9" s="2">
        <v>0</v>
      </c>
      <c r="E9" s="2">
        <v>0</v>
      </c>
      <c r="F9" s="2">
        <f t="shared" si="0"/>
        <v>0</v>
      </c>
      <c r="G9" s="2" t="str">
        <f t="shared" si="1"/>
        <v>Reorder</v>
      </c>
    </row>
    <row r="10" spans="1:7" s="18" customFormat="1" ht="15" customHeight="1" x14ac:dyDescent="0.25">
      <c r="A10" s="2" t="s">
        <v>441</v>
      </c>
      <c r="B10" s="2">
        <v>3600</v>
      </c>
      <c r="C10" s="2">
        <v>4000</v>
      </c>
      <c r="D10" s="2">
        <v>0</v>
      </c>
      <c r="E10" s="2">
        <v>0</v>
      </c>
      <c r="F10" s="2">
        <f t="shared" si="0"/>
        <v>0</v>
      </c>
      <c r="G10" s="2" t="str">
        <f t="shared" si="1"/>
        <v>Reorder</v>
      </c>
    </row>
    <row r="11" spans="1:7" ht="15" customHeight="1" x14ac:dyDescent="0.25">
      <c r="A11" s="2" t="s">
        <v>442</v>
      </c>
      <c r="B11" s="2">
        <v>3520</v>
      </c>
      <c r="C11" s="2">
        <v>3775</v>
      </c>
      <c r="D11" s="2">
        <v>0</v>
      </c>
      <c r="E11" s="2">
        <v>0</v>
      </c>
      <c r="F11" s="2">
        <f t="shared" si="0"/>
        <v>0</v>
      </c>
      <c r="G11" s="2" t="str">
        <f t="shared" si="1"/>
        <v>Reorder</v>
      </c>
    </row>
    <row r="12" spans="1:7" ht="15" customHeight="1" x14ac:dyDescent="0.25">
      <c r="A12" s="2" t="s">
        <v>444</v>
      </c>
      <c r="B12" s="2">
        <v>3850</v>
      </c>
      <c r="C12" s="2">
        <v>4050</v>
      </c>
      <c r="D12" s="2">
        <v>0</v>
      </c>
      <c r="E12" s="2">
        <v>0</v>
      </c>
      <c r="F12" s="2">
        <f t="shared" si="0"/>
        <v>0</v>
      </c>
      <c r="G12" s="2" t="str">
        <f t="shared" si="1"/>
        <v>Reorder</v>
      </c>
    </row>
    <row r="13" spans="1:7" x14ac:dyDescent="0.25">
      <c r="A13" s="2" t="s">
        <v>445</v>
      </c>
      <c r="B13" s="2">
        <v>3150</v>
      </c>
      <c r="C13" s="2">
        <v>3400</v>
      </c>
      <c r="D13" s="2">
        <v>0</v>
      </c>
      <c r="E13" s="2">
        <v>0</v>
      </c>
      <c r="F13" s="2">
        <f t="shared" si="0"/>
        <v>0</v>
      </c>
      <c r="G13" s="2" t="str">
        <f t="shared" si="1"/>
        <v>Reorder</v>
      </c>
    </row>
    <row r="14" spans="1:7" x14ac:dyDescent="0.25">
      <c r="A14" s="2" t="s">
        <v>446</v>
      </c>
      <c r="B14" s="2">
        <v>3400</v>
      </c>
      <c r="C14" s="2">
        <v>3650</v>
      </c>
      <c r="D14" s="2">
        <v>0</v>
      </c>
      <c r="E14" s="2">
        <v>0</v>
      </c>
      <c r="F14" s="2">
        <f t="shared" si="0"/>
        <v>0</v>
      </c>
      <c r="G14" s="2" t="str">
        <f t="shared" si="1"/>
        <v>Reorder</v>
      </c>
    </row>
    <row r="15" spans="1:7" x14ac:dyDescent="0.25">
      <c r="A15" s="2" t="s">
        <v>447</v>
      </c>
      <c r="B15" s="2">
        <v>3490</v>
      </c>
      <c r="C15" s="2">
        <v>3750</v>
      </c>
      <c r="D15" s="2">
        <v>0</v>
      </c>
      <c r="E15" s="2">
        <v>0</v>
      </c>
      <c r="F15" s="2">
        <f t="shared" si="0"/>
        <v>0</v>
      </c>
      <c r="G15" s="2" t="str">
        <f t="shared" si="1"/>
        <v>Reorder</v>
      </c>
    </row>
    <row r="16" spans="1:7" x14ac:dyDescent="0.25">
      <c r="A16" s="2" t="s">
        <v>448</v>
      </c>
      <c r="B16" s="2">
        <v>3500</v>
      </c>
      <c r="C16" s="2">
        <v>3750</v>
      </c>
      <c r="D16" s="2">
        <v>0</v>
      </c>
      <c r="E16" s="2">
        <v>0</v>
      </c>
      <c r="F16" s="2">
        <f t="shared" si="0"/>
        <v>0</v>
      </c>
      <c r="G16" s="2" t="str">
        <f t="shared" si="1"/>
        <v>Reorder</v>
      </c>
    </row>
    <row r="17" spans="1:7" x14ac:dyDescent="0.25">
      <c r="A17" s="2" t="s">
        <v>449</v>
      </c>
      <c r="B17" s="2">
        <v>2365</v>
      </c>
      <c r="C17" s="2">
        <v>2580</v>
      </c>
      <c r="D17" s="2">
        <v>0</v>
      </c>
      <c r="E17" s="2">
        <v>0</v>
      </c>
      <c r="F17" s="2">
        <f t="shared" si="0"/>
        <v>0</v>
      </c>
      <c r="G17" s="2" t="str">
        <f t="shared" si="1"/>
        <v>Reorder</v>
      </c>
    </row>
    <row r="18" spans="1:7" x14ac:dyDescent="0.25">
      <c r="A18" s="2" t="s">
        <v>450</v>
      </c>
      <c r="B18" s="2">
        <v>3360</v>
      </c>
      <c r="C18" s="2">
        <v>3600</v>
      </c>
      <c r="D18" s="2">
        <v>0</v>
      </c>
      <c r="E18" s="2">
        <v>0</v>
      </c>
      <c r="F18" s="2">
        <f t="shared" si="0"/>
        <v>0</v>
      </c>
      <c r="G18" s="2" t="str">
        <f t="shared" si="1"/>
        <v>Reorder</v>
      </c>
    </row>
    <row r="19" spans="1:7" x14ac:dyDescent="0.25">
      <c r="A19" s="2" t="s">
        <v>451</v>
      </c>
      <c r="B19" s="2">
        <v>2405</v>
      </c>
      <c r="C19" s="2">
        <v>2680</v>
      </c>
      <c r="D19" s="2">
        <v>0</v>
      </c>
      <c r="E19" s="2">
        <v>0</v>
      </c>
      <c r="F19" s="2">
        <f t="shared" si="0"/>
        <v>0</v>
      </c>
      <c r="G19" s="2" t="str">
        <f t="shared" si="1"/>
        <v>Reorder</v>
      </c>
    </row>
    <row r="20" spans="1:7" x14ac:dyDescent="0.25">
      <c r="A20" s="2" t="s">
        <v>452</v>
      </c>
      <c r="B20" s="2">
        <v>3145</v>
      </c>
      <c r="C20" s="2">
        <v>3500</v>
      </c>
      <c r="D20" s="2">
        <v>0</v>
      </c>
      <c r="E20" s="2">
        <v>0</v>
      </c>
      <c r="F20" s="2">
        <f t="shared" si="0"/>
        <v>0</v>
      </c>
      <c r="G20" s="2" t="str">
        <f t="shared" si="1"/>
        <v>Reorder</v>
      </c>
    </row>
    <row r="21" spans="1:7" x14ac:dyDescent="0.25">
      <c r="A21" s="2" t="s">
        <v>453</v>
      </c>
      <c r="B21" s="2">
        <v>2860</v>
      </c>
      <c r="C21" s="2">
        <v>3120</v>
      </c>
      <c r="D21" s="2">
        <v>0</v>
      </c>
      <c r="E21" s="2">
        <v>0</v>
      </c>
      <c r="F21" s="2">
        <f t="shared" si="0"/>
        <v>0</v>
      </c>
      <c r="G21" s="2" t="str">
        <f t="shared" si="1"/>
        <v>Reorder</v>
      </c>
    </row>
    <row r="22" spans="1:7" x14ac:dyDescent="0.25">
      <c r="A22" s="2" t="s">
        <v>454</v>
      </c>
      <c r="B22" s="2">
        <v>2860</v>
      </c>
      <c r="C22" s="2">
        <v>3120</v>
      </c>
      <c r="D22" s="2">
        <v>0</v>
      </c>
      <c r="E22" s="2">
        <v>0</v>
      </c>
      <c r="F22" s="2">
        <f t="shared" si="0"/>
        <v>0</v>
      </c>
      <c r="G22" s="2" t="str">
        <f t="shared" si="1"/>
        <v>Reorder</v>
      </c>
    </row>
    <row r="23" spans="1:7" x14ac:dyDescent="0.25">
      <c r="A23" s="2" t="s">
        <v>455</v>
      </c>
      <c r="B23" s="2">
        <v>3105</v>
      </c>
      <c r="C23" s="2">
        <v>3400</v>
      </c>
      <c r="D23" s="2">
        <v>0</v>
      </c>
      <c r="E23" s="2">
        <v>0</v>
      </c>
      <c r="F23" s="2">
        <f t="shared" si="0"/>
        <v>0</v>
      </c>
      <c r="G23" s="2" t="str">
        <f t="shared" si="1"/>
        <v>Reorder</v>
      </c>
    </row>
    <row r="24" spans="1:7" x14ac:dyDescent="0.25">
      <c r="A24" s="2" t="s">
        <v>456</v>
      </c>
      <c r="B24" s="2">
        <v>3125</v>
      </c>
      <c r="C24" s="2">
        <v>3450</v>
      </c>
      <c r="D24" s="2">
        <v>0</v>
      </c>
      <c r="E24" s="2">
        <v>0</v>
      </c>
      <c r="F24" s="2">
        <f t="shared" si="0"/>
        <v>0</v>
      </c>
      <c r="G24" s="2" t="str">
        <f t="shared" si="1"/>
        <v>Reorder</v>
      </c>
    </row>
    <row r="25" spans="1:7" x14ac:dyDescent="0.25">
      <c r="A25" s="2" t="s">
        <v>459</v>
      </c>
      <c r="B25" s="2">
        <v>2875</v>
      </c>
      <c r="C25" s="2">
        <v>3120</v>
      </c>
      <c r="D25" s="2">
        <v>0</v>
      </c>
      <c r="E25" s="2">
        <v>0</v>
      </c>
      <c r="F25" s="2">
        <f t="shared" si="0"/>
        <v>0</v>
      </c>
      <c r="G25" s="2" t="str">
        <f t="shared" si="1"/>
        <v>Reorder</v>
      </c>
    </row>
    <row r="26" spans="1:7" x14ac:dyDescent="0.25">
      <c r="A26" s="2" t="s">
        <v>457</v>
      </c>
      <c r="B26" s="2">
        <v>2470</v>
      </c>
      <c r="C26" s="2">
        <v>2650</v>
      </c>
      <c r="D26" s="2">
        <v>0</v>
      </c>
      <c r="E26" s="2">
        <v>0</v>
      </c>
      <c r="F26" s="2">
        <f t="shared" si="0"/>
        <v>0</v>
      </c>
      <c r="G26" s="2" t="str">
        <f t="shared" si="1"/>
        <v>Reorder</v>
      </c>
    </row>
    <row r="27" spans="1:7" x14ac:dyDescent="0.25">
      <c r="A27" s="2" t="s">
        <v>458</v>
      </c>
      <c r="B27" s="2">
        <v>2875</v>
      </c>
      <c r="C27" s="2">
        <v>3000</v>
      </c>
      <c r="D27" s="2">
        <v>0</v>
      </c>
      <c r="E27" s="2">
        <v>0</v>
      </c>
      <c r="F27" s="2">
        <f t="shared" si="0"/>
        <v>0</v>
      </c>
      <c r="G27" s="2" t="str">
        <f t="shared" si="1"/>
        <v>Reorder</v>
      </c>
    </row>
    <row r="28" spans="1:7" x14ac:dyDescent="0.25">
      <c r="A28" s="2" t="s">
        <v>460</v>
      </c>
      <c r="B28" s="2">
        <v>2750</v>
      </c>
      <c r="C28" s="2">
        <v>2980</v>
      </c>
      <c r="D28" s="2">
        <v>0</v>
      </c>
      <c r="E28" s="2">
        <v>0</v>
      </c>
      <c r="F28" s="2">
        <f t="shared" si="0"/>
        <v>0</v>
      </c>
      <c r="G28" s="2" t="str">
        <f t="shared" si="1"/>
        <v>Reorder</v>
      </c>
    </row>
    <row r="47" spans="1:1" x14ac:dyDescent="0.25">
      <c r="A47" s="2" t="s">
        <v>449</v>
      </c>
    </row>
    <row r="50" spans="2:9" s="41" customFormat="1" x14ac:dyDescent="0.25">
      <c r="B50" s="22"/>
      <c r="C50" s="22"/>
      <c r="D50" s="22"/>
      <c r="E50" s="22"/>
      <c r="F50" s="22"/>
      <c r="G50" s="22"/>
      <c r="H50" s="22"/>
      <c r="I50" s="22"/>
    </row>
  </sheetData>
  <mergeCells count="1">
    <mergeCell ref="A1:E1"/>
  </mergeCells>
  <conditionalFormatting sqref="A1:E1 A4:A11 B4:C49 A3:E3 A2:C2 D4:E28">
    <cfRule type="expression" dxfId="40" priority="22">
      <formula>ROW()=CELL(ROW)</formula>
    </cfRule>
  </conditionalFormatting>
  <conditionalFormatting sqref="D2">
    <cfRule type="expression" dxfId="39" priority="20">
      <formula>ROW()=CELL(ROW)</formula>
    </cfRule>
  </conditionalFormatting>
  <conditionalFormatting sqref="G2">
    <cfRule type="containsText" dxfId="38" priority="19" operator="containsText" text="Reorder ">
      <formula>NOT(ISERROR(SEARCH("Reorder ",G2)))</formula>
    </cfRule>
  </conditionalFormatting>
  <conditionalFormatting sqref="G2">
    <cfRule type="containsText" dxfId="37" priority="18" operator="containsText" text="Reorder">
      <formula>NOT(ISERROR(SEARCH("Reorder",G2)))</formula>
    </cfRule>
  </conditionalFormatting>
  <conditionalFormatting sqref="G2">
    <cfRule type="containsText" dxfId="36" priority="17" operator="containsText" text="Reorder">
      <formula>NOT(ISERROR(SEARCH("Reorder",G2)))</formula>
    </cfRule>
  </conditionalFormatting>
  <conditionalFormatting sqref="G2">
    <cfRule type="containsText" dxfId="35" priority="16" operator="containsText" text="Reorder">
      <formula>NOT(ISERROR(SEARCH("Reorder",G2)))</formula>
    </cfRule>
  </conditionalFormatting>
  <conditionalFormatting sqref="G2">
    <cfRule type="containsText" dxfId="34" priority="15" operator="containsText" text="Reorder">
      <formula>NOT(ISERROR(SEARCH("Reorder",G2)))</formula>
    </cfRule>
  </conditionalFormatting>
  <conditionalFormatting sqref="G2">
    <cfRule type="containsText" dxfId="33" priority="14" operator="containsText" text="Reorder">
      <formula>NOT(ISERROR(SEARCH("Reorder",G2)))</formula>
    </cfRule>
  </conditionalFormatting>
  <conditionalFormatting sqref="G2">
    <cfRule type="containsText" dxfId="32" priority="13" operator="containsText" text="Reorder">
      <formula>NOT(ISERROR(SEARCH("Reorder",G2)))</formula>
    </cfRule>
  </conditionalFormatting>
  <conditionalFormatting sqref="G2">
    <cfRule type="containsText" dxfId="31" priority="12" operator="containsText" text="Reorder">
      <formula>NOT(ISERROR(SEARCH("Reorder",G2)))</formula>
    </cfRule>
  </conditionalFormatting>
  <conditionalFormatting sqref="G2">
    <cfRule type="containsText" dxfId="30" priority="11" operator="containsText" text="Reorder">
      <formula>NOT(ISERROR(SEARCH("Reorder",G2)))</formula>
    </cfRule>
  </conditionalFormatting>
  <conditionalFormatting sqref="G2">
    <cfRule type="containsText" dxfId="29" priority="10" operator="containsText" text="Reorder">
      <formula>NOT(ISERROR(SEARCH("Reorder",G2)))</formula>
    </cfRule>
  </conditionalFormatting>
  <conditionalFormatting sqref="G2">
    <cfRule type="containsText" dxfId="28" priority="9" operator="containsText" text="Reorder">
      <formula>NOT(ISERROR(SEARCH("Reorder",G2)))</formula>
    </cfRule>
  </conditionalFormatting>
  <conditionalFormatting sqref="G2">
    <cfRule type="containsText" dxfId="27" priority="8" operator="containsText" text="Reorder">
      <formula>NOT(ISERROR(SEARCH("Reorder",G2)))</formula>
    </cfRule>
  </conditionalFormatting>
  <conditionalFormatting sqref="G2">
    <cfRule type="containsText" dxfId="26" priority="7" operator="containsText" text="Reorder">
      <formula>NOT(ISERROR(SEARCH("Reorder",G2)))</formula>
    </cfRule>
  </conditionalFormatting>
  <conditionalFormatting sqref="G2">
    <cfRule type="containsText" dxfId="25" priority="6" operator="containsText" text="Reorder">
      <formula>NOT(ISERROR(SEARCH("Reorder",G2)))</formula>
    </cfRule>
  </conditionalFormatting>
  <conditionalFormatting sqref="G2">
    <cfRule type="containsText" dxfId="24" priority="5" operator="containsText" text="Reorder">
      <formula>NOT(ISERROR(SEARCH("Reorder",G2)))</formula>
    </cfRule>
  </conditionalFormatting>
  <conditionalFormatting sqref="G2">
    <cfRule type="containsText" dxfId="23" priority="4" operator="containsText" text="Reorder">
      <formula>NOT(ISERROR(SEARCH("Reorder",G2)))</formula>
    </cfRule>
  </conditionalFormatting>
  <conditionalFormatting sqref="G1:G1048576">
    <cfRule type="containsText" dxfId="22" priority="1" operator="containsText" text="Reorder">
      <formula>NOT(ISERROR(SEARCH("Reorder",G1)))</formula>
    </cfRule>
    <cfRule type="containsText" dxfId="21" priority="2" operator="containsText" text="Reorder ">
      <formula>NOT(ISERROR(SEARCH("Reorder ",G1)))</formula>
    </cfRule>
  </conditionalFormatting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50"/>
  <sheetViews>
    <sheetView workbookViewId="0">
      <selection activeCell="C16" sqref="C16"/>
    </sheetView>
  </sheetViews>
  <sheetFormatPr defaultRowHeight="15" x14ac:dyDescent="0.25"/>
  <cols>
    <col min="1" max="1" width="36" style="3" customWidth="1"/>
    <col min="2" max="2" width="18.85546875" style="16" customWidth="1"/>
    <col min="3" max="3" width="9.140625" style="3"/>
    <col min="4" max="4" width="13.42578125" style="3" customWidth="1"/>
    <col min="5" max="16384" width="9.140625" style="3"/>
  </cols>
  <sheetData>
    <row r="1" spans="1:4" ht="44.25" customHeight="1" x14ac:dyDescent="0.25">
      <c r="A1" s="102" t="s">
        <v>464</v>
      </c>
      <c r="B1" s="72"/>
      <c r="C1" s="72"/>
      <c r="D1" s="72"/>
    </row>
    <row r="2" spans="1:4" s="6" customFormat="1" ht="61.5" customHeight="1" x14ac:dyDescent="0.25">
      <c r="A2" s="4" t="s">
        <v>463</v>
      </c>
      <c r="B2" s="5" t="s">
        <v>462</v>
      </c>
      <c r="C2" s="3"/>
      <c r="D2" s="3"/>
    </row>
    <row r="3" spans="1:4" ht="15" customHeight="1" x14ac:dyDescent="0.25">
      <c r="A3" s="3" t="s">
        <v>465</v>
      </c>
      <c r="B3" s="2">
        <v>3000</v>
      </c>
    </row>
    <row r="4" spans="1:4" ht="15" customHeight="1" x14ac:dyDescent="0.25">
      <c r="A4" s="3" t="s">
        <v>466</v>
      </c>
      <c r="B4" s="2">
        <v>3100</v>
      </c>
    </row>
    <row r="5" spans="1:4" ht="15" customHeight="1" x14ac:dyDescent="0.25">
      <c r="A5" s="3" t="s">
        <v>467</v>
      </c>
      <c r="B5" s="2">
        <v>2450</v>
      </c>
    </row>
    <row r="6" spans="1:4" ht="15" customHeight="1" x14ac:dyDescent="0.25">
      <c r="A6" s="3" t="s">
        <v>468</v>
      </c>
      <c r="B6" s="2">
        <v>1850</v>
      </c>
    </row>
    <row r="7" spans="1:4" ht="15" customHeight="1" x14ac:dyDescent="0.25">
      <c r="A7" s="3" t="s">
        <v>469</v>
      </c>
      <c r="B7" s="2">
        <v>2350</v>
      </c>
    </row>
    <row r="8" spans="1:4" ht="15" customHeight="1" x14ac:dyDescent="0.25">
      <c r="A8" s="3" t="s">
        <v>470</v>
      </c>
      <c r="B8" s="2">
        <v>2570</v>
      </c>
    </row>
    <row r="9" spans="1:4" ht="15" customHeight="1" x14ac:dyDescent="0.25">
      <c r="A9" s="3" t="s">
        <v>471</v>
      </c>
      <c r="B9" s="2">
        <v>2995</v>
      </c>
    </row>
    <row r="10" spans="1:4" s="17" customFormat="1" ht="15" customHeight="1" x14ac:dyDescent="0.25">
      <c r="A10" s="3"/>
      <c r="B10" s="2"/>
      <c r="C10" s="3"/>
    </row>
    <row r="11" spans="1:4" ht="15" customHeight="1" x14ac:dyDescent="0.25">
      <c r="B11" s="2"/>
    </row>
    <row r="12" spans="1:4" ht="15" customHeight="1" x14ac:dyDescent="0.25">
      <c r="B12" s="2"/>
    </row>
    <row r="13" spans="1:4" x14ac:dyDescent="0.25">
      <c r="B13" s="2"/>
    </row>
    <row r="14" spans="1:4" x14ac:dyDescent="0.25">
      <c r="B14" s="2"/>
    </row>
    <row r="15" spans="1:4" x14ac:dyDescent="0.25">
      <c r="B15" s="2"/>
    </row>
    <row r="16" spans="1:4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1:2" x14ac:dyDescent="0.25">
      <c r="B33" s="2"/>
    </row>
    <row r="34" spans="1:2" x14ac:dyDescent="0.25">
      <c r="B34" s="2"/>
    </row>
    <row r="35" spans="1:2" x14ac:dyDescent="0.25">
      <c r="B35" s="2"/>
    </row>
    <row r="36" spans="1:2" x14ac:dyDescent="0.25">
      <c r="B36" s="2"/>
    </row>
    <row r="37" spans="1:2" x14ac:dyDescent="0.25">
      <c r="B37" s="2"/>
    </row>
    <row r="38" spans="1:2" x14ac:dyDescent="0.25">
      <c r="B38" s="2"/>
    </row>
    <row r="39" spans="1:2" x14ac:dyDescent="0.25">
      <c r="B39" s="2"/>
    </row>
    <row r="40" spans="1:2" x14ac:dyDescent="0.25">
      <c r="B40" s="2"/>
    </row>
    <row r="41" spans="1:2" x14ac:dyDescent="0.25">
      <c r="B41" s="2"/>
    </row>
    <row r="42" spans="1:2" x14ac:dyDescent="0.25">
      <c r="B42" s="2"/>
    </row>
    <row r="43" spans="1:2" x14ac:dyDescent="0.25">
      <c r="B43" s="2"/>
    </row>
    <row r="44" spans="1:2" x14ac:dyDescent="0.25">
      <c r="B44" s="2"/>
    </row>
    <row r="45" spans="1:2" x14ac:dyDescent="0.25">
      <c r="B45" s="2"/>
    </row>
    <row r="46" spans="1:2" x14ac:dyDescent="0.25">
      <c r="B46" s="2"/>
    </row>
    <row r="47" spans="1:2" x14ac:dyDescent="0.25">
      <c r="A47" s="3" t="s">
        <v>449</v>
      </c>
      <c r="B47" s="2"/>
    </row>
    <row r="48" spans="1:2" x14ac:dyDescent="0.25">
      <c r="B48" s="2"/>
    </row>
    <row r="49" spans="2:8" x14ac:dyDescent="0.25">
      <c r="B49" s="2"/>
    </row>
    <row r="50" spans="2:8" s="20" customFormat="1" x14ac:dyDescent="0.25">
      <c r="B50" s="21"/>
      <c r="C50" s="21"/>
      <c r="D50" s="21"/>
      <c r="E50" s="21"/>
      <c r="F50" s="21"/>
      <c r="G50" s="21"/>
      <c r="H50" s="21"/>
    </row>
  </sheetData>
  <mergeCells count="1">
    <mergeCell ref="A1:D1"/>
  </mergeCells>
  <conditionalFormatting sqref="C4:D11 A4:A11 B4:B49 A1:D3">
    <cfRule type="expression" dxfId="20" priority="1">
      <formula>ROW()=CELL(ROW)</formula>
    </cfRule>
  </conditionalFormatting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59"/>
  <sheetViews>
    <sheetView zoomScaleNormal="100" workbookViewId="0">
      <selection sqref="A1:J1"/>
    </sheetView>
  </sheetViews>
  <sheetFormatPr defaultRowHeight="15" x14ac:dyDescent="0.25"/>
  <cols>
    <col min="1" max="1" width="40" style="2" customWidth="1"/>
    <col min="2" max="2" width="18.5703125" style="2" customWidth="1"/>
    <col min="3" max="3" width="18.85546875" style="2" customWidth="1"/>
    <col min="4" max="4" width="17.5703125" style="2" bestFit="1" customWidth="1"/>
    <col min="5" max="5" width="16.28515625" style="2" bestFit="1" customWidth="1"/>
    <col min="6" max="6" width="18.140625" style="2" customWidth="1"/>
    <col min="7" max="7" width="12.28515625" style="2" customWidth="1"/>
    <col min="8" max="16384" width="9.140625" style="2"/>
  </cols>
  <sheetData>
    <row r="1" spans="1:10" ht="71.25" customHeight="1" x14ac:dyDescent="0.25">
      <c r="A1" s="106" t="s">
        <v>476</v>
      </c>
      <c r="B1" s="107"/>
      <c r="C1" s="107"/>
      <c r="D1" s="107"/>
      <c r="E1" s="107"/>
      <c r="F1" s="107"/>
      <c r="G1" s="107"/>
      <c r="H1" s="107"/>
      <c r="I1" s="107"/>
      <c r="J1" s="108"/>
    </row>
    <row r="2" spans="1:10" s="7" customFormat="1" ht="61.5" customHeight="1" x14ac:dyDescent="0.25">
      <c r="A2" s="4" t="s">
        <v>472</v>
      </c>
      <c r="B2" s="4" t="s">
        <v>60</v>
      </c>
      <c r="C2" s="5" t="s">
        <v>62</v>
      </c>
      <c r="D2" s="5" t="s">
        <v>680</v>
      </c>
      <c r="E2" s="5" t="s">
        <v>681</v>
      </c>
      <c r="F2" s="5" t="s">
        <v>641</v>
      </c>
      <c r="G2" s="5" t="s">
        <v>638</v>
      </c>
    </row>
    <row r="3" spans="1:10" ht="15" customHeight="1" x14ac:dyDescent="0.25">
      <c r="A3" s="2" t="s">
        <v>473</v>
      </c>
      <c r="B3" s="2">
        <v>230</v>
      </c>
      <c r="C3" s="2">
        <v>280</v>
      </c>
      <c r="D3" s="2">
        <v>3</v>
      </c>
      <c r="E3" s="2">
        <v>2</v>
      </c>
      <c r="F3" s="2">
        <f>D3-E3</f>
        <v>1</v>
      </c>
      <c r="G3" s="2" t="str">
        <f>IF(F3&lt;=1,"Reorder","Available")</f>
        <v>Reorder</v>
      </c>
    </row>
    <row r="4" spans="1:10" ht="15" customHeight="1" x14ac:dyDescent="0.25">
      <c r="A4" s="2" t="s">
        <v>849</v>
      </c>
      <c r="B4" s="2">
        <v>230</v>
      </c>
      <c r="C4" s="2">
        <v>280</v>
      </c>
      <c r="D4" s="2">
        <v>5</v>
      </c>
      <c r="E4" s="2">
        <v>1</v>
      </c>
      <c r="F4" s="2">
        <f>D4-E4</f>
        <v>4</v>
      </c>
      <c r="G4" s="2" t="str">
        <f>IF(F4&lt;=1,"Reorder","Available")</f>
        <v>Available</v>
      </c>
    </row>
    <row r="5" spans="1:10" ht="15" customHeight="1" x14ac:dyDescent="0.25">
      <c r="A5" s="2" t="s">
        <v>862</v>
      </c>
      <c r="B5" s="2">
        <v>230</v>
      </c>
      <c r="C5" s="2">
        <v>280</v>
      </c>
      <c r="D5" s="2">
        <v>6</v>
      </c>
      <c r="E5" s="2">
        <v>0</v>
      </c>
      <c r="F5" s="2">
        <f t="shared" ref="F5:F27" si="0">D5-E5</f>
        <v>6</v>
      </c>
      <c r="G5" s="2" t="str">
        <f t="shared" ref="G5:G27" si="1">IF(F5&lt;=1,"Reorder","Available")</f>
        <v>Available</v>
      </c>
    </row>
    <row r="6" spans="1:10" ht="15" customHeight="1" x14ac:dyDescent="0.25">
      <c r="A6" s="2" t="s">
        <v>176</v>
      </c>
      <c r="B6" s="2">
        <v>230</v>
      </c>
      <c r="C6" s="2">
        <v>280</v>
      </c>
      <c r="D6" s="2">
        <v>8</v>
      </c>
      <c r="E6" s="2">
        <v>0</v>
      </c>
      <c r="F6" s="2">
        <f t="shared" si="0"/>
        <v>8</v>
      </c>
      <c r="G6" s="2" t="str">
        <f t="shared" si="1"/>
        <v>Available</v>
      </c>
    </row>
    <row r="7" spans="1:10" ht="15" customHeight="1" x14ac:dyDescent="0.25">
      <c r="A7" s="2" t="s">
        <v>50</v>
      </c>
      <c r="B7" s="2">
        <v>230</v>
      </c>
      <c r="C7" s="2">
        <v>300</v>
      </c>
      <c r="D7" s="2">
        <v>5</v>
      </c>
      <c r="E7" s="2">
        <v>1</v>
      </c>
      <c r="F7" s="2">
        <f t="shared" si="0"/>
        <v>4</v>
      </c>
      <c r="G7" s="2" t="str">
        <f t="shared" si="1"/>
        <v>Available</v>
      </c>
    </row>
    <row r="8" spans="1:10" ht="15" customHeight="1" x14ac:dyDescent="0.25">
      <c r="A8" s="2" t="s">
        <v>47</v>
      </c>
      <c r="B8" s="2">
        <v>195</v>
      </c>
      <c r="C8" s="2">
        <v>250</v>
      </c>
      <c r="D8" s="2">
        <v>2</v>
      </c>
      <c r="E8" s="2">
        <v>1</v>
      </c>
      <c r="F8" s="2">
        <f t="shared" si="0"/>
        <v>1</v>
      </c>
      <c r="G8" s="2" t="str">
        <f t="shared" si="1"/>
        <v>Reorder</v>
      </c>
    </row>
    <row r="9" spans="1:10" ht="15" customHeight="1" x14ac:dyDescent="0.25">
      <c r="A9" s="2" t="s">
        <v>850</v>
      </c>
      <c r="B9" s="2">
        <v>240</v>
      </c>
      <c r="C9" s="2">
        <v>280</v>
      </c>
      <c r="D9" s="2">
        <v>2</v>
      </c>
      <c r="E9" s="2">
        <v>0</v>
      </c>
      <c r="F9" s="2">
        <f t="shared" si="0"/>
        <v>2</v>
      </c>
      <c r="G9" s="2" t="str">
        <f t="shared" si="1"/>
        <v>Available</v>
      </c>
    </row>
    <row r="10" spans="1:10" ht="15" customHeight="1" x14ac:dyDescent="0.25"/>
    <row r="11" spans="1:10" s="18" customFormat="1" ht="15" customHeight="1" x14ac:dyDescent="0.25">
      <c r="A11" s="18" t="s">
        <v>864</v>
      </c>
      <c r="B11" s="18">
        <v>140</v>
      </c>
      <c r="C11" s="18">
        <v>200</v>
      </c>
      <c r="D11" s="2">
        <v>20</v>
      </c>
      <c r="E11" s="2">
        <v>7</v>
      </c>
      <c r="F11" s="2">
        <f>D11-E11</f>
        <v>13</v>
      </c>
      <c r="G11" s="2" t="str">
        <f t="shared" si="1"/>
        <v>Available</v>
      </c>
    </row>
    <row r="12" spans="1:10" s="18" customFormat="1" ht="15" customHeight="1" x14ac:dyDescent="0.25">
      <c r="A12" s="18" t="s">
        <v>474</v>
      </c>
      <c r="B12" s="18">
        <v>120</v>
      </c>
      <c r="C12" s="18">
        <v>180</v>
      </c>
      <c r="D12" s="2">
        <v>20</v>
      </c>
      <c r="E12" s="2">
        <v>5</v>
      </c>
      <c r="F12" s="2">
        <f t="shared" si="0"/>
        <v>15</v>
      </c>
      <c r="G12" s="2" t="str">
        <f t="shared" si="1"/>
        <v>Available</v>
      </c>
    </row>
    <row r="13" spans="1:10" s="18" customFormat="1" ht="15" customHeight="1" x14ac:dyDescent="0.25">
      <c r="A13" s="18" t="s">
        <v>475</v>
      </c>
      <c r="B13" s="18">
        <v>60</v>
      </c>
      <c r="C13" s="18">
        <v>100</v>
      </c>
      <c r="D13" s="2">
        <v>25</v>
      </c>
      <c r="E13" s="2">
        <v>16</v>
      </c>
      <c r="F13" s="2">
        <f t="shared" si="0"/>
        <v>9</v>
      </c>
      <c r="G13" s="2" t="str">
        <f t="shared" si="1"/>
        <v>Available</v>
      </c>
    </row>
    <row r="14" spans="1:10" ht="15" customHeight="1" x14ac:dyDescent="0.25"/>
    <row r="15" spans="1:10" ht="15.75" x14ac:dyDescent="0.25">
      <c r="A15" s="18" t="s">
        <v>765</v>
      </c>
      <c r="B15" s="2">
        <v>410</v>
      </c>
      <c r="C15" s="2">
        <v>550</v>
      </c>
      <c r="D15" s="2">
        <v>3</v>
      </c>
      <c r="E15" s="2">
        <v>0</v>
      </c>
      <c r="F15" s="2">
        <f t="shared" si="0"/>
        <v>3</v>
      </c>
      <c r="G15" s="2" t="str">
        <f t="shared" si="1"/>
        <v>Available</v>
      </c>
    </row>
    <row r="16" spans="1:10" ht="15.75" x14ac:dyDescent="0.25">
      <c r="A16" s="18" t="s">
        <v>766</v>
      </c>
      <c r="B16" s="2">
        <v>410</v>
      </c>
      <c r="C16" s="2">
        <v>550</v>
      </c>
      <c r="D16" s="2">
        <v>7</v>
      </c>
      <c r="E16" s="2">
        <v>4</v>
      </c>
      <c r="F16" s="2">
        <f t="shared" si="0"/>
        <v>3</v>
      </c>
      <c r="G16" s="2" t="str">
        <f t="shared" si="1"/>
        <v>Available</v>
      </c>
    </row>
    <row r="17" spans="1:7" ht="15.75" x14ac:dyDescent="0.25">
      <c r="A17" s="18" t="s">
        <v>767</v>
      </c>
      <c r="B17" s="2">
        <v>410</v>
      </c>
      <c r="C17" s="2">
        <v>550</v>
      </c>
      <c r="D17" s="2">
        <v>4</v>
      </c>
      <c r="E17" s="2">
        <v>0</v>
      </c>
      <c r="F17" s="2">
        <f t="shared" si="0"/>
        <v>4</v>
      </c>
      <c r="G17" s="2" t="str">
        <f t="shared" si="1"/>
        <v>Available</v>
      </c>
    </row>
    <row r="18" spans="1:7" ht="15.75" x14ac:dyDescent="0.25">
      <c r="A18" s="18" t="s">
        <v>1010</v>
      </c>
      <c r="B18" s="2">
        <v>700</v>
      </c>
      <c r="C18" s="2">
        <v>900</v>
      </c>
      <c r="D18" s="2">
        <v>1</v>
      </c>
      <c r="E18" s="2">
        <v>0</v>
      </c>
      <c r="F18" s="2">
        <f t="shared" si="0"/>
        <v>1</v>
      </c>
      <c r="G18" s="2" t="str">
        <f t="shared" si="1"/>
        <v>Reorder</v>
      </c>
    </row>
    <row r="19" spans="1:7" ht="15.75" x14ac:dyDescent="0.25">
      <c r="A19" s="18" t="s">
        <v>647</v>
      </c>
      <c r="B19" s="2">
        <v>470</v>
      </c>
      <c r="C19" s="2">
        <v>550</v>
      </c>
      <c r="D19" s="2">
        <v>4</v>
      </c>
      <c r="E19" s="2">
        <v>2</v>
      </c>
      <c r="F19" s="2">
        <f t="shared" si="0"/>
        <v>2</v>
      </c>
      <c r="G19" s="2" t="str">
        <f>IF(F19&lt;=1,"Reorder","Available")</f>
        <v>Available</v>
      </c>
    </row>
    <row r="20" spans="1:7" ht="15.75" x14ac:dyDescent="0.25">
      <c r="A20" s="18" t="s">
        <v>1037</v>
      </c>
      <c r="B20" s="2">
        <v>500</v>
      </c>
      <c r="C20" s="2">
        <v>600</v>
      </c>
      <c r="D20" s="2">
        <v>3</v>
      </c>
      <c r="E20" s="2">
        <v>0</v>
      </c>
      <c r="F20" s="2">
        <f t="shared" si="0"/>
        <v>3</v>
      </c>
      <c r="G20" s="2" t="str">
        <f>IF(F20&lt;=1,"Reorder","Available")</f>
        <v>Available</v>
      </c>
    </row>
    <row r="21" spans="1:7" ht="15.75" x14ac:dyDescent="0.25">
      <c r="A21" s="18" t="s">
        <v>873</v>
      </c>
      <c r="B21" s="2">
        <v>510</v>
      </c>
      <c r="C21" s="2">
        <v>620</v>
      </c>
      <c r="D21" s="2">
        <v>2</v>
      </c>
      <c r="E21" s="2">
        <v>1</v>
      </c>
      <c r="F21" s="2">
        <f t="shared" si="0"/>
        <v>1</v>
      </c>
      <c r="G21" s="2" t="str">
        <f t="shared" si="1"/>
        <v>Reorder</v>
      </c>
    </row>
    <row r="22" spans="1:7" ht="15.75" x14ac:dyDescent="0.25">
      <c r="A22" s="18" t="s">
        <v>895</v>
      </c>
      <c r="B22" s="2">
        <v>380</v>
      </c>
      <c r="C22" s="2">
        <v>500</v>
      </c>
      <c r="D22" s="2">
        <v>1</v>
      </c>
      <c r="E22" s="2">
        <v>0</v>
      </c>
      <c r="F22" s="2">
        <f t="shared" si="0"/>
        <v>1</v>
      </c>
      <c r="G22" s="2" t="str">
        <f t="shared" si="1"/>
        <v>Reorder</v>
      </c>
    </row>
    <row r="23" spans="1:7" ht="15.75" x14ac:dyDescent="0.25">
      <c r="A23" s="18"/>
    </row>
    <row r="24" spans="1:7" x14ac:dyDescent="0.25">
      <c r="A24" s="2" t="s">
        <v>477</v>
      </c>
      <c r="B24" s="2">
        <v>1250</v>
      </c>
      <c r="C24" s="2">
        <v>1550</v>
      </c>
      <c r="D24" s="2">
        <v>2</v>
      </c>
      <c r="E24" s="2">
        <v>2</v>
      </c>
      <c r="F24" s="2">
        <f t="shared" si="0"/>
        <v>0</v>
      </c>
      <c r="G24" s="2" t="str">
        <f t="shared" si="1"/>
        <v>Reorder</v>
      </c>
    </row>
    <row r="25" spans="1:7" x14ac:dyDescent="0.25">
      <c r="A25" s="2" t="s">
        <v>616</v>
      </c>
      <c r="B25" s="2">
        <v>600</v>
      </c>
      <c r="C25" s="2">
        <v>700</v>
      </c>
      <c r="D25" s="2">
        <v>2</v>
      </c>
      <c r="E25" s="2">
        <v>1</v>
      </c>
      <c r="F25" s="2">
        <f t="shared" si="0"/>
        <v>1</v>
      </c>
      <c r="G25" s="2" t="str">
        <f t="shared" si="1"/>
        <v>Reorder</v>
      </c>
    </row>
    <row r="26" spans="1:7" x14ac:dyDescent="0.25">
      <c r="A26" s="2" t="s">
        <v>851</v>
      </c>
      <c r="B26" s="2" t="s">
        <v>852</v>
      </c>
      <c r="C26" s="2" t="s">
        <v>853</v>
      </c>
      <c r="D26" s="2">
        <v>32</v>
      </c>
      <c r="E26" s="2">
        <v>0</v>
      </c>
      <c r="F26" s="2">
        <f t="shared" si="0"/>
        <v>32</v>
      </c>
      <c r="G26" s="2" t="str">
        <f t="shared" si="1"/>
        <v>Available</v>
      </c>
    </row>
    <row r="27" spans="1:7" x14ac:dyDescent="0.25">
      <c r="A27" s="2" t="s">
        <v>980</v>
      </c>
      <c r="B27" s="2" t="s">
        <v>978</v>
      </c>
      <c r="C27" s="2" t="s">
        <v>979</v>
      </c>
      <c r="D27" s="2">
        <v>10</v>
      </c>
      <c r="E27" s="2">
        <v>10</v>
      </c>
      <c r="F27" s="2">
        <f t="shared" si="0"/>
        <v>0</v>
      </c>
      <c r="G27" s="2" t="str">
        <f t="shared" si="1"/>
        <v>Reorder</v>
      </c>
    </row>
    <row r="56" spans="1:9" x14ac:dyDescent="0.25">
      <c r="A56" s="2" t="s">
        <v>449</v>
      </c>
    </row>
    <row r="59" spans="1:9" s="41" customFormat="1" x14ac:dyDescent="0.25">
      <c r="B59" s="22"/>
      <c r="C59" s="22"/>
      <c r="D59" s="22"/>
      <c r="E59" s="22"/>
      <c r="F59" s="22"/>
      <c r="G59" s="22"/>
      <c r="H59" s="22"/>
      <c r="I59" s="22"/>
    </row>
  </sheetData>
  <mergeCells count="1">
    <mergeCell ref="A1:J1"/>
  </mergeCells>
  <conditionalFormatting sqref="A3:E4 A1 A2:C2 A5:B13 C5:C58 D5:E25">
    <cfRule type="expression" dxfId="19" priority="20">
      <formula>ROW()=CELL(ROW)</formula>
    </cfRule>
  </conditionalFormatting>
  <conditionalFormatting sqref="D2">
    <cfRule type="expression" dxfId="18" priority="19">
      <formula>ROW()=CELL(ROW)</formula>
    </cfRule>
  </conditionalFormatting>
  <conditionalFormatting sqref="G2">
    <cfRule type="containsText" dxfId="17" priority="18" operator="containsText" text="Reorder ">
      <formula>NOT(ISERROR(SEARCH("Reorder ",G2)))</formula>
    </cfRule>
  </conditionalFormatting>
  <conditionalFormatting sqref="G2">
    <cfRule type="containsText" dxfId="16" priority="17" operator="containsText" text="Reorder">
      <formula>NOT(ISERROR(SEARCH("Reorder",G2)))</formula>
    </cfRule>
  </conditionalFormatting>
  <conditionalFormatting sqref="G2">
    <cfRule type="containsText" dxfId="15" priority="16" operator="containsText" text="Reorder">
      <formula>NOT(ISERROR(SEARCH("Reorder",G2)))</formula>
    </cfRule>
  </conditionalFormatting>
  <conditionalFormatting sqref="G2">
    <cfRule type="containsText" dxfId="14" priority="15" operator="containsText" text="Reorder">
      <formula>NOT(ISERROR(SEARCH("Reorder",G2)))</formula>
    </cfRule>
  </conditionalFormatting>
  <conditionalFormatting sqref="G2">
    <cfRule type="containsText" dxfId="13" priority="14" operator="containsText" text="Reorder">
      <formula>NOT(ISERROR(SEARCH("Reorder",G2)))</formula>
    </cfRule>
  </conditionalFormatting>
  <conditionalFormatting sqref="G2">
    <cfRule type="containsText" dxfId="12" priority="13" operator="containsText" text="Reorder">
      <formula>NOT(ISERROR(SEARCH("Reorder",G2)))</formula>
    </cfRule>
  </conditionalFormatting>
  <conditionalFormatting sqref="G2">
    <cfRule type="containsText" dxfId="11" priority="12" operator="containsText" text="Reorder">
      <formula>NOT(ISERROR(SEARCH("Reorder",G2)))</formula>
    </cfRule>
  </conditionalFormatting>
  <conditionalFormatting sqref="G2">
    <cfRule type="containsText" dxfId="10" priority="11" operator="containsText" text="Reorder">
      <formula>NOT(ISERROR(SEARCH("Reorder",G2)))</formula>
    </cfRule>
  </conditionalFormatting>
  <conditionalFormatting sqref="G2">
    <cfRule type="containsText" dxfId="9" priority="10" operator="containsText" text="Reorder">
      <formula>NOT(ISERROR(SEARCH("Reorder",G2)))</formula>
    </cfRule>
  </conditionalFormatting>
  <conditionalFormatting sqref="G2">
    <cfRule type="containsText" dxfId="8" priority="9" operator="containsText" text="Reorder">
      <formula>NOT(ISERROR(SEARCH("Reorder",G2)))</formula>
    </cfRule>
  </conditionalFormatting>
  <conditionalFormatting sqref="G2">
    <cfRule type="containsText" dxfId="7" priority="8" operator="containsText" text="Reorder">
      <formula>NOT(ISERROR(SEARCH("Reorder",G2)))</formula>
    </cfRule>
  </conditionalFormatting>
  <conditionalFormatting sqref="G2">
    <cfRule type="containsText" dxfId="6" priority="7" operator="containsText" text="Reorder">
      <formula>NOT(ISERROR(SEARCH("Reorder",G2)))</formula>
    </cfRule>
  </conditionalFormatting>
  <conditionalFormatting sqref="G2">
    <cfRule type="containsText" dxfId="5" priority="6" operator="containsText" text="Reorder">
      <formula>NOT(ISERROR(SEARCH("Reorder",G2)))</formula>
    </cfRule>
  </conditionalFormatting>
  <conditionalFormatting sqref="G2">
    <cfRule type="containsText" dxfId="4" priority="5" operator="containsText" text="Reorder">
      <formula>NOT(ISERROR(SEARCH("Reorder",G2)))</formula>
    </cfRule>
  </conditionalFormatting>
  <conditionalFormatting sqref="G2">
    <cfRule type="containsText" dxfId="3" priority="4" operator="containsText" text="Reorder">
      <formula>NOT(ISERROR(SEARCH("Reorder",G2)))</formula>
    </cfRule>
  </conditionalFormatting>
  <conditionalFormatting sqref="G2">
    <cfRule type="containsText" dxfId="2" priority="3" operator="containsText" text="Reorder">
      <formula>NOT(ISERROR(SEARCH("Reorder",G2)))</formula>
    </cfRule>
  </conditionalFormatting>
  <conditionalFormatting sqref="G1:G1048576">
    <cfRule type="containsText" dxfId="1" priority="1" operator="containsText" text="Reorder">
      <formula>NOT(ISERROR(SEARCH("Reorder",G1)))</formula>
    </cfRule>
    <cfRule type="containsText" dxfId="0" priority="2" operator="containsText" text="Reorder ">
      <formula>NOT(ISERROR(SEARCH("Reorder ",G1)))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Home </vt:lpstr>
      <vt:lpstr>Dashboard</vt:lpstr>
      <vt:lpstr>Sheet1</vt:lpstr>
      <vt:lpstr>Others</vt:lpstr>
      <vt:lpstr>Acc Cable </vt:lpstr>
      <vt:lpstr>Air Filter</vt:lpstr>
      <vt:lpstr>Brake Shoe </vt:lpstr>
      <vt:lpstr>Bearing </vt:lpstr>
      <vt:lpstr>Brake Cable-BrakeYoke </vt:lpstr>
      <vt:lpstr>Brake Pad-Disk Pad</vt:lpstr>
      <vt:lpstr>Brake Paddle-Brake Rod</vt:lpstr>
      <vt:lpstr>Chainkit</vt:lpstr>
      <vt:lpstr>Clutch Plate</vt:lpstr>
      <vt:lpstr>Came Chain-Came Chain exchauste</vt:lpstr>
      <vt:lpstr>Cone Bearing </vt:lpstr>
      <vt:lpstr>Carburator</vt:lpstr>
      <vt:lpstr>Clutch Shoe-Chain exhauster</vt:lpstr>
      <vt:lpstr>Clutch Cable </vt:lpstr>
      <vt:lpstr>Choke Cable-Clutch Yoke</vt:lpstr>
      <vt:lpstr>Clucth Switch-C.D.I</vt:lpstr>
      <vt:lpstr>Drum Rubber</vt:lpstr>
      <vt:lpstr>Daya form</vt:lpstr>
      <vt:lpstr>Disc Caliber</vt:lpstr>
      <vt:lpstr>Disc Plate</vt:lpstr>
      <vt:lpstr>Dipper Switch</vt:lpstr>
      <vt:lpstr> Footrest</vt:lpstr>
      <vt:lpstr>Front Spocket</vt:lpstr>
      <vt:lpstr>Fine Belt </vt:lpstr>
      <vt:lpstr>Gear Lever-Gear  Sharf</vt:lpstr>
      <vt:lpstr>Head Show-Head Light Assemble</vt:lpstr>
      <vt:lpstr>Half-Excel</vt:lpstr>
      <vt:lpstr>Ingnation Swtich-Switch set</vt:lpstr>
      <vt:lpstr>Kick Lever</vt:lpstr>
      <vt:lpstr>Lever Set </vt:lpstr>
      <vt:lpstr>Mirror</vt:lpstr>
      <vt:lpstr>Front+Rear Master Cylinder</vt:lpstr>
      <vt:lpstr>Male-Female; Male-Female Assemb</vt:lpstr>
      <vt:lpstr>Mobil</vt:lpstr>
      <vt:lpstr>One Way Bearing </vt:lpstr>
      <vt:lpstr>Oil Seal</vt:lpstr>
      <vt:lpstr>Plug-Plug Cap</vt:lpstr>
      <vt:lpstr>Petrol Tap</vt:lpstr>
      <vt:lpstr>Rektifire</vt:lpstr>
      <vt:lpstr>Rocker</vt:lpstr>
      <vt:lpstr>Rear Axel</vt:lpstr>
      <vt:lpstr>Self-Carbon</vt:lpstr>
      <vt:lpstr>Side Light</vt:lpstr>
      <vt:lpstr>Side Stand</vt:lpstr>
      <vt:lpstr>Speedo Meter Cable </vt:lpstr>
      <vt:lpstr>Shock Rod </vt:lpstr>
      <vt:lpstr>Suspention Bush</vt:lpstr>
      <vt:lpstr>Self-Cutout- Relay</vt:lpstr>
      <vt:lpstr>Seat Cover</vt:lpstr>
      <vt:lpstr>Shock Spring</vt:lpstr>
      <vt:lpstr>Top </vt:lpstr>
      <vt:lpstr>Tube</vt:lpstr>
      <vt:lpstr>Tanky Cap</vt:lpstr>
      <vt:lpstr>Timing Pad</vt:lpstr>
      <vt:lpstr>Tyres</vt:lpstr>
      <vt:lpstr>Helmet</vt:lpstr>
      <vt:lpstr>Weigh-Roller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2022-10-31T02:26:31Z</dcterms:created>
  <dcterms:modified xsi:type="dcterms:W3CDTF">2026-03-06T06:32:29Z</dcterms:modified>
</cp:coreProperties>
</file>